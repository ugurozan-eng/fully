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C341E246-6AB3-4053-A819-9058E822DE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rtfoy Listesi" sheetId="6" r:id="rId1"/>
    <sheet name="24" sheetId="1" r:id="rId2"/>
    <sheet name="25" sheetId="2" r:id="rId3"/>
    <sheet name="26" sheetId="3" r:id="rId4"/>
    <sheet name="27" sheetId="4" r:id="rId5"/>
    <sheet name="28" sheetId="5" r:id="rId6"/>
  </sheets>
  <definedNames>
    <definedName name="_xlnm._FilterDatabase" localSheetId="0" hidden="1">'Portfoy Listesi'!$A$1:$R$97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M19" i="6"/>
  <c r="K19" i="6"/>
  <c r="M97" i="6"/>
  <c r="K97" i="6"/>
  <c r="M96" i="6"/>
  <c r="K96" i="6"/>
  <c r="M95" i="6"/>
  <c r="K95" i="6"/>
  <c r="M94" i="6"/>
  <c r="K94" i="6"/>
  <c r="M93" i="6"/>
  <c r="K93" i="6"/>
  <c r="M92" i="6"/>
  <c r="K92" i="6"/>
  <c r="M91" i="6"/>
  <c r="K91" i="6"/>
  <c r="M90" i="6"/>
  <c r="K90" i="6"/>
  <c r="M89" i="6"/>
  <c r="K89" i="6"/>
  <c r="M88" i="6"/>
  <c r="K88" i="6"/>
  <c r="M87" i="6"/>
  <c r="K87" i="6"/>
  <c r="M86" i="6"/>
  <c r="K86" i="6"/>
  <c r="M85" i="6"/>
  <c r="K85" i="6"/>
  <c r="M84" i="6"/>
  <c r="K84" i="6"/>
  <c r="M83" i="6"/>
  <c r="K83" i="6"/>
  <c r="M82" i="6"/>
  <c r="K82" i="6"/>
  <c r="M81" i="6"/>
  <c r="K81" i="6"/>
  <c r="M80" i="6"/>
  <c r="K80" i="6"/>
  <c r="M79" i="6"/>
  <c r="K79" i="6"/>
  <c r="M78" i="6"/>
  <c r="K78" i="6"/>
  <c r="M77" i="6"/>
  <c r="K77" i="6"/>
  <c r="M76" i="6"/>
  <c r="K76" i="6"/>
  <c r="M75" i="6"/>
  <c r="K75" i="6"/>
  <c r="M74" i="6"/>
  <c r="K74" i="6"/>
  <c r="M73" i="6"/>
  <c r="K73" i="6"/>
  <c r="M72" i="6"/>
  <c r="K72" i="6"/>
  <c r="M71" i="6"/>
  <c r="K71" i="6"/>
  <c r="M70" i="6"/>
  <c r="K70" i="6"/>
  <c r="M69" i="6"/>
  <c r="K69" i="6"/>
  <c r="M68" i="6"/>
  <c r="K68" i="6"/>
  <c r="M67" i="6"/>
  <c r="K67" i="6"/>
  <c r="M66" i="6"/>
  <c r="K66" i="6"/>
  <c r="M65" i="6"/>
  <c r="K65" i="6"/>
  <c r="M64" i="6"/>
  <c r="K64" i="6"/>
  <c r="M63" i="6"/>
  <c r="K63" i="6"/>
  <c r="M62" i="6"/>
  <c r="K62" i="6"/>
  <c r="M61" i="6"/>
  <c r="K61" i="6"/>
  <c r="M60" i="6"/>
  <c r="K60" i="6"/>
  <c r="M59" i="6"/>
  <c r="K59" i="6"/>
  <c r="M58" i="6"/>
  <c r="K58" i="6"/>
  <c r="M57" i="6"/>
  <c r="K57" i="6"/>
  <c r="M56" i="6"/>
  <c r="K56" i="6"/>
  <c r="M55" i="6"/>
  <c r="K55" i="6"/>
  <c r="M54" i="6"/>
  <c r="K54" i="6"/>
  <c r="M53" i="6"/>
  <c r="K53" i="6"/>
  <c r="M52" i="6"/>
  <c r="K52" i="6"/>
  <c r="M51" i="6"/>
  <c r="K51" i="6"/>
  <c r="M50" i="6"/>
  <c r="K50" i="6"/>
  <c r="M49" i="6"/>
  <c r="K49" i="6"/>
  <c r="M48" i="6"/>
  <c r="K48" i="6"/>
  <c r="M47" i="6"/>
  <c r="K47" i="6"/>
  <c r="M46" i="6"/>
  <c r="K46" i="6"/>
  <c r="M45" i="6"/>
  <c r="K45" i="6"/>
  <c r="M44" i="6"/>
  <c r="K44" i="6"/>
  <c r="M43" i="6"/>
  <c r="K43" i="6"/>
  <c r="M42" i="6"/>
  <c r="K42" i="6"/>
  <c r="M41" i="6"/>
  <c r="K41" i="6"/>
  <c r="M40" i="6"/>
  <c r="K40" i="6"/>
  <c r="M39" i="6"/>
  <c r="K39" i="6"/>
  <c r="M38" i="6"/>
  <c r="K38" i="6"/>
  <c r="M37" i="6"/>
  <c r="K37" i="6"/>
  <c r="M36" i="6"/>
  <c r="K36" i="6"/>
  <c r="M35" i="6"/>
  <c r="K35" i="6"/>
  <c r="M34" i="6"/>
  <c r="K34" i="6"/>
  <c r="M33" i="6"/>
  <c r="K33" i="6"/>
  <c r="M32" i="6"/>
  <c r="K32" i="6"/>
  <c r="M31" i="6"/>
  <c r="K31" i="6"/>
  <c r="M30" i="6"/>
  <c r="K30" i="6"/>
  <c r="M29" i="6"/>
  <c r="K29" i="6"/>
  <c r="M28" i="6"/>
  <c r="K28" i="6"/>
  <c r="M27" i="6"/>
  <c r="K27" i="6"/>
  <c r="M26" i="6"/>
  <c r="K26" i="6"/>
  <c r="M25" i="6"/>
  <c r="K25" i="6"/>
  <c r="M24" i="6"/>
  <c r="K24" i="6"/>
  <c r="M23" i="6"/>
  <c r="K23" i="6"/>
  <c r="M22" i="6"/>
  <c r="K22" i="6"/>
  <c r="M21" i="6"/>
  <c r="K21" i="6"/>
  <c r="M20" i="6"/>
  <c r="K20" i="6"/>
  <c r="M18" i="6"/>
  <c r="K18" i="6"/>
  <c r="M17" i="6"/>
  <c r="K17" i="6"/>
  <c r="M16" i="6"/>
  <c r="K16" i="6"/>
  <c r="M15" i="6"/>
  <c r="K15" i="6"/>
  <c r="M14" i="6"/>
  <c r="K14" i="6"/>
  <c r="M13" i="6"/>
  <c r="K13" i="6"/>
  <c r="M12" i="6"/>
  <c r="K12" i="6"/>
  <c r="M11" i="6"/>
  <c r="K11" i="6"/>
  <c r="M10" i="6"/>
  <c r="K10" i="6"/>
  <c r="M9" i="6"/>
  <c r="K9" i="6"/>
  <c r="M8" i="6"/>
  <c r="K8" i="6"/>
  <c r="M7" i="6"/>
  <c r="K7" i="6"/>
  <c r="M6" i="6"/>
  <c r="K6" i="6"/>
  <c r="M5" i="6"/>
  <c r="K5" i="6"/>
  <c r="M4" i="6"/>
  <c r="K4" i="6"/>
  <c r="M3" i="6"/>
  <c r="K3" i="6"/>
  <c r="M2" i="6"/>
  <c r="K2" i="6"/>
  <c r="H24" i="5"/>
  <c r="G24" i="5"/>
  <c r="F24" i="5"/>
  <c r="E24" i="5"/>
  <c r="M23" i="5"/>
  <c r="J23" i="5"/>
  <c r="M22" i="5"/>
  <c r="J22" i="5"/>
  <c r="M21" i="5"/>
  <c r="J21" i="5"/>
  <c r="M20" i="5"/>
  <c r="J20" i="5"/>
  <c r="M19" i="5"/>
  <c r="J19" i="5"/>
  <c r="M18" i="5"/>
  <c r="J18" i="5"/>
  <c r="M17" i="5"/>
  <c r="J17" i="5"/>
  <c r="M16" i="5"/>
  <c r="J16" i="5"/>
  <c r="M15" i="5"/>
  <c r="J15" i="5"/>
  <c r="M14" i="5"/>
  <c r="J14" i="5"/>
  <c r="M13" i="5"/>
  <c r="J13" i="5"/>
  <c r="M12" i="5"/>
  <c r="J12" i="5"/>
  <c r="M11" i="5"/>
  <c r="J11" i="5"/>
  <c r="M10" i="5"/>
  <c r="J10" i="5"/>
  <c r="M9" i="5"/>
  <c r="J9" i="5"/>
  <c r="M8" i="5"/>
  <c r="J8" i="5"/>
  <c r="M7" i="5"/>
  <c r="J7" i="5"/>
  <c r="M6" i="5"/>
  <c r="J6" i="5"/>
  <c r="M5" i="5"/>
  <c r="J5" i="5"/>
  <c r="M4" i="5"/>
  <c r="J4" i="5"/>
  <c r="H22" i="4"/>
  <c r="G22" i="4"/>
  <c r="F22" i="4"/>
  <c r="E22" i="4"/>
  <c r="M21" i="4"/>
  <c r="J21" i="4"/>
  <c r="M20" i="4"/>
  <c r="J20" i="4"/>
  <c r="M19" i="4"/>
  <c r="J19" i="4"/>
  <c r="M18" i="4"/>
  <c r="J18" i="4"/>
  <c r="M17" i="4"/>
  <c r="J17" i="4"/>
  <c r="M16" i="4"/>
  <c r="J16" i="4"/>
  <c r="M15" i="4"/>
  <c r="J15" i="4"/>
  <c r="M14" i="4"/>
  <c r="J14" i="4"/>
  <c r="M13" i="4"/>
  <c r="J13" i="4"/>
  <c r="M12" i="4"/>
  <c r="J12" i="4"/>
  <c r="M11" i="4"/>
  <c r="J11" i="4"/>
  <c r="M10" i="4"/>
  <c r="J10" i="4"/>
  <c r="M9" i="4"/>
  <c r="J9" i="4"/>
  <c r="M8" i="4"/>
  <c r="J8" i="4"/>
  <c r="M7" i="4"/>
  <c r="J7" i="4"/>
  <c r="M6" i="4"/>
  <c r="J6" i="4"/>
  <c r="M5" i="4"/>
  <c r="J5" i="4"/>
  <c r="M4" i="4"/>
  <c r="J4" i="4"/>
  <c r="H24" i="3"/>
  <c r="G24" i="3"/>
  <c r="F24" i="3"/>
  <c r="E24" i="3"/>
  <c r="M23" i="3"/>
  <c r="J23" i="3"/>
  <c r="M22" i="3"/>
  <c r="J22" i="3"/>
  <c r="M21" i="3"/>
  <c r="J21" i="3"/>
  <c r="M20" i="3"/>
  <c r="J20" i="3"/>
  <c r="M19" i="3"/>
  <c r="J19" i="3"/>
  <c r="M18" i="3"/>
  <c r="J18" i="3"/>
  <c r="M17" i="3"/>
  <c r="J17" i="3"/>
  <c r="M16" i="3"/>
  <c r="J16" i="3"/>
  <c r="M15" i="3"/>
  <c r="J15" i="3"/>
  <c r="M14" i="3"/>
  <c r="J14" i="3"/>
  <c r="M13" i="3"/>
  <c r="J13" i="3"/>
  <c r="M12" i="3"/>
  <c r="J12" i="3"/>
  <c r="M11" i="3"/>
  <c r="J11" i="3"/>
  <c r="M10" i="3"/>
  <c r="J10" i="3"/>
  <c r="M9" i="3"/>
  <c r="J9" i="3"/>
  <c r="M8" i="3"/>
  <c r="J8" i="3"/>
  <c r="M7" i="3"/>
  <c r="J7" i="3"/>
  <c r="M6" i="3"/>
  <c r="J6" i="3"/>
  <c r="M5" i="3"/>
  <c r="J5" i="3"/>
  <c r="M4" i="3"/>
  <c r="M24" i="3" s="1"/>
  <c r="J4" i="3"/>
  <c r="H22" i="2"/>
  <c r="G22" i="2"/>
  <c r="F22" i="2"/>
  <c r="E22" i="2"/>
  <c r="M21" i="2"/>
  <c r="J21" i="2"/>
  <c r="M20" i="2"/>
  <c r="J20" i="2"/>
  <c r="M19" i="2"/>
  <c r="J19" i="2"/>
  <c r="M18" i="2"/>
  <c r="J18" i="2"/>
  <c r="M17" i="2"/>
  <c r="J17" i="2"/>
  <c r="M16" i="2"/>
  <c r="J16" i="2"/>
  <c r="M15" i="2"/>
  <c r="J15" i="2"/>
  <c r="M14" i="2"/>
  <c r="J14" i="2"/>
  <c r="M13" i="2"/>
  <c r="J13" i="2"/>
  <c r="M12" i="2"/>
  <c r="J12" i="2"/>
  <c r="M11" i="2"/>
  <c r="J11" i="2"/>
  <c r="M10" i="2"/>
  <c r="J10" i="2"/>
  <c r="M9" i="2"/>
  <c r="J9" i="2"/>
  <c r="M8" i="2"/>
  <c r="J8" i="2"/>
  <c r="M7" i="2"/>
  <c r="J7" i="2"/>
  <c r="M6" i="2"/>
  <c r="J6" i="2"/>
  <c r="M5" i="2"/>
  <c r="J5" i="2"/>
  <c r="M4" i="2"/>
  <c r="J4" i="2"/>
  <c r="H24" i="1"/>
  <c r="G24" i="1"/>
  <c r="F24" i="1"/>
  <c r="E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J4" i="1"/>
  <c r="M22" i="2" l="1"/>
  <c r="M22" i="4"/>
  <c r="M24" i="5"/>
  <c r="M24" i="1"/>
</calcChain>
</file>

<file path=xl/sharedStrings.xml><?xml version="1.0" encoding="utf-8"?>
<sst xmlns="http://schemas.openxmlformats.org/spreadsheetml/2006/main" count="919" uniqueCount="135">
  <si>
    <t>BRÜT ALAN</t>
  </si>
  <si>
    <t>KULL. 
AMACI</t>
  </si>
  <si>
    <t>BAĞ.BÖL. 
KAPALI ALAN</t>
  </si>
  <si>
    <t>NET 
ALAN</t>
  </si>
  <si>
    <t>BAĞ.BÖL. 
NO</t>
  </si>
  <si>
    <t>KAT</t>
  </si>
  <si>
    <t>DUBLEKS
MESKEN</t>
  </si>
  <si>
    <t>DAİRE
TİPİ</t>
  </si>
  <si>
    <t>3+1</t>
  </si>
  <si>
    <t>BAĞ.BÖL. 
MERDİVEN ALAN</t>
  </si>
  <si>
    <t>KAPALI
+AÇIK 
ALAN</t>
  </si>
  <si>
    <t>ZEMİN KAT</t>
  </si>
  <si>
    <t>1.NORMAL KAT</t>
  </si>
  <si>
    <t>MESKEN</t>
  </si>
  <si>
    <t>ORTAK 
ALAN PAYI</t>
  </si>
  <si>
    <t>ZEMİN KAT
BODRUM KAT</t>
  </si>
  <si>
    <t>BAĞ.BÖL. 
AÇIK 
ALAN</t>
  </si>
  <si>
    <t>1+1</t>
  </si>
  <si>
    <t>2+1</t>
  </si>
  <si>
    <t>24 PARSEL RUHSAT HARCINA ESAS TABLO</t>
  </si>
  <si>
    <t>DAİRE SAHİBİ</t>
  </si>
  <si>
    <t>İSİM SOYİSİM</t>
  </si>
  <si>
    <t>NOVA</t>
  </si>
  <si>
    <t>25 PARSEL RUHSAT HARCINA ESAS TABLO</t>
  </si>
  <si>
    <t>4+1</t>
  </si>
  <si>
    <t>26 PARSEL RUHSAT HARCINA ESAS TABLO</t>
  </si>
  <si>
    <t>DUBLEKSMESKEN</t>
  </si>
  <si>
    <t>27 PARSEL RUHSAT HARCINA ESAS TABLO</t>
  </si>
  <si>
    <t>28 PARSEL RUHSAT HARCINA ESAS TABLO</t>
  </si>
  <si>
    <t>BAHÇELİ</t>
  </si>
  <si>
    <t>deniz ve havuz</t>
  </si>
  <si>
    <t>PARSEL</t>
  </si>
  <si>
    <t>FİYAT</t>
  </si>
  <si>
    <t>DAİRE SAHİBİ-İSİM SOYİSİM</t>
  </si>
  <si>
    <t>Portfoy Adı</t>
  </si>
  <si>
    <t>Kapalı</t>
  </si>
  <si>
    <t>EXTRA ÖZELLİK</t>
  </si>
  <si>
    <t>DENİZ VE HAVUZ MANZARALI</t>
  </si>
  <si>
    <t>Portfoy Kimde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</si>
  <si>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</si>
  <si>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</si>
  <si>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</si>
  <si>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</si>
  <si>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</si>
  <si>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</si>
  <si>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</si>
  <si>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</si>
  <si>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</si>
  <si>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</si>
  <si>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</si>
  <si>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</si>
  <si>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</si>
  <si>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</si>
  <si>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</si>
  <si>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</si>
  <si>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</si>
  <si>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</si>
  <si>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</si>
  <si>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</si>
  <si>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</si>
  <si>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</si>
  <si>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</si>
  <si>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</si>
  <si>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</si>
  <si>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</si>
  <si>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</si>
  <si>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</si>
  <si>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</si>
  <si>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</si>
  <si>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</si>
  <si>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</si>
  <si>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</si>
  <si>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</si>
  <si>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</si>
  <si>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</si>
  <si>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</si>
  <si>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</si>
  <si>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26_1</t>
  </si>
  <si>
    <t>26_2</t>
  </si>
  <si>
    <t>26_3</t>
  </si>
  <si>
    <t>26_4</t>
  </si>
  <si>
    <t>26_5</t>
  </si>
  <si>
    <t>26_6</t>
  </si>
  <si>
    <t>26_7</t>
  </si>
  <si>
    <t>26_8</t>
  </si>
  <si>
    <t>26_9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</si>
  <si>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</si>
  <si>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</si>
  <si>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</si>
  <si>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</si>
  <si>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</si>
  <si>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</si>
  <si>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</si>
  <si>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</si>
  <si>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</si>
  <si>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</si>
  <si>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26_20</t>
  </si>
  <si>
    <t>27_1</t>
  </si>
  <si>
    <t>27_2</t>
  </si>
  <si>
    <t>27_3</t>
  </si>
  <si>
    <t>27_4</t>
  </si>
  <si>
    <t>27_5</t>
  </si>
  <si>
    <t>27_6</t>
  </si>
  <si>
    <t>27_7</t>
  </si>
  <si>
    <t>27_8</t>
  </si>
  <si>
    <t>27_9</t>
  </si>
  <si>
    <t>27_10</t>
  </si>
  <si>
    <t>27_11</t>
  </si>
  <si>
    <t>27_12</t>
  </si>
  <si>
    <t>27_13</t>
  </si>
  <si>
    <t>27_14</t>
  </si>
  <si>
    <t>27_15</t>
  </si>
  <si>
    <t>27_16</t>
  </si>
  <si>
    <t>27_17</t>
  </si>
  <si>
    <t>27_18</t>
  </si>
  <si>
    <t>28_1</t>
  </si>
  <si>
    <t>28_2</t>
  </si>
  <si>
    <t>28_3</t>
  </si>
  <si>
    <t>28_4</t>
  </si>
  <si>
    <t>28_5</t>
  </si>
  <si>
    <t>28_6</t>
  </si>
  <si>
    <t>28_7</t>
  </si>
  <si>
    <t>28_8</t>
  </si>
  <si>
    <t>28_9</t>
  </si>
  <si>
    <t>28_10</t>
  </si>
  <si>
    <t>28_11</t>
  </si>
  <si>
    <t>28_12</t>
  </si>
  <si>
    <t>28_13</t>
  </si>
  <si>
    <t>28_14</t>
  </si>
  <si>
    <t>28_15</t>
  </si>
  <si>
    <t>28_16</t>
  </si>
  <si>
    <t>28_17</t>
  </si>
  <si>
    <t>28_18</t>
  </si>
  <si>
    <t>28_19</t>
  </si>
  <si>
    <t>28_20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</si>
</sst>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m²&quot;"/>
    <numFmt numFmtId="165" formatCode="&quot;₺&quot;#,##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5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1" xfId="0" applyBorder="1"/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5" fontId="0" fillId="5" borderId="1" xfId="0" applyNumberFormat="1" applyFill="1" applyBorder="1"/>
    <xf numFmtId="165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7534-331B-44C5-B8BF-A9A2340E7003}">
  <sheetPr filterMode="1"/>
  <dimension ref="A1:Q98"/>
  <sheetViews>
    <sheetView tabSelected="1" workbookViewId="0">
      <selection activeCell="M2" sqref="M2"/>
    </sheetView>
  </sheetViews>
  <sheetFormatPr defaultColWidth="9.140625" defaultRowHeight="15" x14ac:dyDescent="0.25"/>
  <cols>
    <col min="1" max="2" width="6.7109375" style="1" bestFit="1" customWidth="1"/>
    <col min="3" max="3" width="14.42578125" style="1" bestFit="1" customWidth="1"/>
    <col min="4" max="4" width="9" style="1" customWidth="1"/>
    <col min="5" max="5" width="8.140625" style="1" bestFit="1" customWidth="1"/>
    <col min="6" max="6" width="15" style="1" bestFit="1" customWidth="1"/>
    <col min="7" max="7" width="12.7109375" style="1" customWidth="1"/>
    <col min="8" max="8" width="13.42578125" style="1" bestFit="1" customWidth="1"/>
    <col min="9" max="9" width="13" style="1" bestFit="1" customWidth="1"/>
    <col min="10" max="10" width="11.140625" style="1" customWidth="1"/>
    <col min="11" max="11" width="10.85546875" style="1" customWidth="1"/>
    <col min="12" max="12" width="26" style="1" customWidth="1"/>
    <col min="13" max="13" width="15" style="1" bestFit="1" customWidth="1"/>
    <col min="14" max="14" width="13" style="20" customWidth="1"/>
    <col min="15" max="17" width="13" style="1" customWidth="1"/>
    <col min="18" max="18" width="11.42578125" style="1" customWidth="1"/>
    <col min="19" max="16384" width="9.140625" style="1"/>
  </cols>
  <sheetData>
    <row r="1" spans="1:17" ht="48" customHeight="1" x14ac:dyDescent="0.25">
      <c r="A1" s="21" t="s">
        <v>31</v>
      </c>
      <c r="B1" s="21" t="s">
        <v>4</v>
      </c>
      <c r="C1" s="21" t="s">
        <v>5</v>
      </c>
      <c r="D1" s="21" t="s">
        <v>1</v>
      </c>
      <c r="E1" s="21" t="s">
        <v>7</v>
      </c>
      <c r="F1" s="21" t="s">
        <v>2</v>
      </c>
      <c r="G1" s="21" t="s">
        <v>16</v>
      </c>
      <c r="H1" s="21" t="s">
        <v>9</v>
      </c>
      <c r="I1" s="21" t="s">
        <v>14</v>
      </c>
      <c r="J1" s="21" t="s">
        <v>3</v>
      </c>
      <c r="K1" s="21" t="s">
        <v>10</v>
      </c>
      <c r="L1" s="22" t="s">
        <v>33</v>
      </c>
      <c r="M1" s="23" t="s">
        <v>0</v>
      </c>
      <c r="N1" s="24" t="s">
        <v>32</v>
      </c>
      <c r="O1" s="25" t="s">
        <v>34</v>
      </c>
      <c r="P1" s="25" t="s">
        <v>36</v>
      </c>
      <c r="Q1" s="25" t="s">
        <v>38</v>
      </c>
    </row>
    <row r="2" spans="1:17" ht="21" x14ac:dyDescent="0.25">
      <c r="A2" s="3">
        <v>24</v>
      </c>
      <c r="B2" s="3">
        <v>1</v>
      </c>
      <c r="C2" s="4" t="s">
        <v>11</v>
      </c>
      <c r="D2" s="4" t="s">
        <v>13</v>
      </c>
      <c r="E2" s="4" t="s">
        <v>17</v>
      </c>
      <c r="F2" s="2">
        <v>47.8</v>
      </c>
      <c r="G2" s="2">
        <v>7.2</v>
      </c>
      <c r="H2" s="2"/>
      <c r="I2" s="2">
        <v>18.55</v>
      </c>
      <c r="J2" s="2">
        <v>42.2</v>
      </c>
      <c r="K2" s="2">
        <f t="shared" ref="K2:K18" si="0">F2+G2</f>
        <v>55</v>
      </c>
      <c r="L2" s="9"/>
      <c r="M2" s="2">
        <f t="shared" ref="M2:M33" si="1">+F2+G2+H2+L2+I2</f>
        <v>73.55</v>
      </c>
      <c r="N2" s="17"/>
      <c r="O2" s="3" t="s">
        <v>39</v>
      </c>
      <c r="P2" s="3"/>
      <c r="Q2" s="10" t="s">
        <v>35</v>
      </c>
    </row>
    <row r="3" spans="1:17" ht="21" x14ac:dyDescent="0.25">
      <c r="A3" s="3">
        <v>24</v>
      </c>
      <c r="B3" s="3">
        <v>2</v>
      </c>
      <c r="C3" s="4" t="s">
        <v>11</v>
      </c>
      <c r="D3" s="4" t="s">
        <v>13</v>
      </c>
      <c r="E3" s="4" t="s">
        <v>17</v>
      </c>
      <c r="F3" s="2">
        <v>46.7</v>
      </c>
      <c r="G3" s="2">
        <v>7.2</v>
      </c>
      <c r="H3" s="2"/>
      <c r="I3" s="2">
        <v>18.55</v>
      </c>
      <c r="J3" s="2">
        <v>41.45</v>
      </c>
      <c r="K3" s="2">
        <f t="shared" si="0"/>
        <v>53.900000000000006</v>
      </c>
      <c r="L3" s="9"/>
      <c r="M3" s="2">
        <f t="shared" si="1"/>
        <v>72.45</v>
      </c>
      <c r="N3" s="17"/>
      <c r="O3" s="3" t="s">
        <v>40</v>
      </c>
      <c r="P3" s="3"/>
      <c r="Q3" s="10" t="s">
        <v>35</v>
      </c>
    </row>
    <row r="4" spans="1:17" ht="30" hidden="1" x14ac:dyDescent="0.25">
      <c r="A4" s="3">
        <v>24</v>
      </c>
      <c r="B4" s="3">
        <v>3</v>
      </c>
      <c r="C4" s="4" t="s">
        <v>15</v>
      </c>
      <c r="D4" s="4" t="s">
        <v>6</v>
      </c>
      <c r="E4" s="4" t="s">
        <v>8</v>
      </c>
      <c r="F4" s="2">
        <v>98.7</v>
      </c>
      <c r="G4" s="2">
        <v>6.35</v>
      </c>
      <c r="H4" s="2">
        <v>5.15</v>
      </c>
      <c r="I4" s="2">
        <v>18.649999999999999</v>
      </c>
      <c r="J4" s="2">
        <v>91.9</v>
      </c>
      <c r="K4" s="2">
        <f t="shared" si="0"/>
        <v>105.05</v>
      </c>
      <c r="L4" s="9"/>
      <c r="M4" s="2">
        <f t="shared" si="1"/>
        <v>128.85</v>
      </c>
      <c r="N4" s="17"/>
      <c r="O4" s="3" t="s">
        <v>41</v>
      </c>
      <c r="P4" s="3" t="s">
        <v>29</v>
      </c>
      <c r="Q4" s="10" t="s">
        <v>35</v>
      </c>
    </row>
    <row r="5" spans="1:17" ht="30" hidden="1" x14ac:dyDescent="0.25">
      <c r="A5" s="3">
        <v>24</v>
      </c>
      <c r="B5" s="3">
        <v>4</v>
      </c>
      <c r="C5" s="4" t="s">
        <v>15</v>
      </c>
      <c r="D5" s="4" t="s">
        <v>6</v>
      </c>
      <c r="E5" s="4" t="s">
        <v>8</v>
      </c>
      <c r="F5" s="2">
        <v>90.9</v>
      </c>
      <c r="G5" s="2">
        <v>6.6</v>
      </c>
      <c r="H5" s="2">
        <v>3.75</v>
      </c>
      <c r="I5" s="2">
        <v>18.649999999999999</v>
      </c>
      <c r="J5" s="2">
        <v>84.65</v>
      </c>
      <c r="K5" s="2">
        <f t="shared" si="0"/>
        <v>97.5</v>
      </c>
      <c r="L5" s="9"/>
      <c r="M5" s="2">
        <f t="shared" si="1"/>
        <v>119.9</v>
      </c>
      <c r="N5" s="17">
        <v>9750000</v>
      </c>
      <c r="O5" s="3" t="s">
        <v>42</v>
      </c>
      <c r="P5" s="3" t="s">
        <v>29</v>
      </c>
      <c r="Q5" s="12" t="s">
        <v>22</v>
      </c>
    </row>
    <row r="6" spans="1:17" ht="30" hidden="1" x14ac:dyDescent="0.25">
      <c r="A6" s="3">
        <v>24</v>
      </c>
      <c r="B6" s="3">
        <v>5</v>
      </c>
      <c r="C6" s="4" t="s">
        <v>15</v>
      </c>
      <c r="D6" s="4" t="s">
        <v>6</v>
      </c>
      <c r="E6" s="4" t="s">
        <v>8</v>
      </c>
      <c r="F6" s="2">
        <v>92.7</v>
      </c>
      <c r="G6" s="2">
        <v>6.65</v>
      </c>
      <c r="H6" s="2">
        <v>3.75</v>
      </c>
      <c r="I6" s="2">
        <v>18.649999999999999</v>
      </c>
      <c r="J6" s="2">
        <v>85.7</v>
      </c>
      <c r="K6" s="2">
        <f t="shared" si="0"/>
        <v>99.350000000000009</v>
      </c>
      <c r="L6" s="9"/>
      <c r="M6" s="2">
        <f t="shared" si="1"/>
        <v>121.75</v>
      </c>
      <c r="N6" s="17"/>
      <c r="O6" s="3" t="s">
        <v>43</v>
      </c>
      <c r="P6" s="3" t="s">
        <v>29</v>
      </c>
      <c r="Q6" s="10" t="s">
        <v>35</v>
      </c>
    </row>
    <row r="7" spans="1:17" ht="30" hidden="1" x14ac:dyDescent="0.25">
      <c r="A7" s="3">
        <v>24</v>
      </c>
      <c r="B7" s="3">
        <v>6</v>
      </c>
      <c r="C7" s="4" t="s">
        <v>15</v>
      </c>
      <c r="D7" s="4" t="s">
        <v>6</v>
      </c>
      <c r="E7" s="4" t="s">
        <v>8</v>
      </c>
      <c r="F7" s="2">
        <v>92.3</v>
      </c>
      <c r="G7" s="2">
        <v>6.65</v>
      </c>
      <c r="H7" s="2">
        <v>3.75</v>
      </c>
      <c r="I7" s="2">
        <v>18.649999999999999</v>
      </c>
      <c r="J7" s="2">
        <v>86.3</v>
      </c>
      <c r="K7" s="2">
        <f t="shared" si="0"/>
        <v>98.95</v>
      </c>
      <c r="L7" s="9"/>
      <c r="M7" s="2">
        <f t="shared" si="1"/>
        <v>121.35</v>
      </c>
      <c r="N7" s="17"/>
      <c r="O7" s="3" t="s">
        <v>44</v>
      </c>
      <c r="P7" s="3" t="s">
        <v>29</v>
      </c>
      <c r="Q7" s="10" t="s">
        <v>35</v>
      </c>
    </row>
    <row r="8" spans="1:17" ht="30" hidden="1" x14ac:dyDescent="0.25">
      <c r="A8" s="3">
        <v>24</v>
      </c>
      <c r="B8" s="3">
        <v>7</v>
      </c>
      <c r="C8" s="4" t="s">
        <v>15</v>
      </c>
      <c r="D8" s="4" t="s">
        <v>6</v>
      </c>
      <c r="E8" s="4" t="s">
        <v>8</v>
      </c>
      <c r="F8" s="2">
        <v>91.6</v>
      </c>
      <c r="G8" s="2">
        <v>6.6</v>
      </c>
      <c r="H8" s="2">
        <v>3.75</v>
      </c>
      <c r="I8" s="2">
        <v>18.649999999999999</v>
      </c>
      <c r="J8" s="2">
        <v>85.75</v>
      </c>
      <c r="K8" s="2">
        <f t="shared" si="0"/>
        <v>98.199999999999989</v>
      </c>
      <c r="L8" s="9"/>
      <c r="M8" s="2">
        <f t="shared" si="1"/>
        <v>120.6</v>
      </c>
      <c r="N8" s="17"/>
      <c r="O8" s="3" t="s">
        <v>45</v>
      </c>
      <c r="P8" s="3" t="s">
        <v>29</v>
      </c>
      <c r="Q8" s="10" t="s">
        <v>35</v>
      </c>
    </row>
    <row r="9" spans="1:17" ht="30" hidden="1" x14ac:dyDescent="0.25">
      <c r="A9" s="3">
        <v>24</v>
      </c>
      <c r="B9" s="3">
        <v>8</v>
      </c>
      <c r="C9" s="4" t="s">
        <v>15</v>
      </c>
      <c r="D9" s="4" t="s">
        <v>6</v>
      </c>
      <c r="E9" s="4" t="s">
        <v>8</v>
      </c>
      <c r="F9" s="2">
        <v>98.7</v>
      </c>
      <c r="G9" s="2">
        <v>6.35</v>
      </c>
      <c r="H9" s="2">
        <v>5.15</v>
      </c>
      <c r="I9" s="2">
        <v>18.649999999999999</v>
      </c>
      <c r="J9" s="2">
        <v>90.6</v>
      </c>
      <c r="K9" s="2">
        <f t="shared" si="0"/>
        <v>105.05</v>
      </c>
      <c r="L9" s="9"/>
      <c r="M9" s="2">
        <f t="shared" si="1"/>
        <v>128.85</v>
      </c>
      <c r="N9" s="17">
        <v>9500000</v>
      </c>
      <c r="O9" s="3" t="s">
        <v>46</v>
      </c>
      <c r="P9" s="3" t="s">
        <v>29</v>
      </c>
      <c r="Q9" s="12" t="s">
        <v>22</v>
      </c>
    </row>
    <row r="10" spans="1:17" ht="21" x14ac:dyDescent="0.25">
      <c r="A10" s="3">
        <v>24</v>
      </c>
      <c r="B10" s="3">
        <v>9</v>
      </c>
      <c r="C10" s="4" t="s">
        <v>11</v>
      </c>
      <c r="D10" s="4" t="s">
        <v>13</v>
      </c>
      <c r="E10" s="4" t="s">
        <v>17</v>
      </c>
      <c r="F10" s="2">
        <v>47.6</v>
      </c>
      <c r="G10" s="2">
        <v>7.2</v>
      </c>
      <c r="H10" s="2"/>
      <c r="I10" s="2">
        <v>18.55</v>
      </c>
      <c r="J10" s="2">
        <v>42.4</v>
      </c>
      <c r="K10" s="2">
        <f t="shared" si="0"/>
        <v>54.800000000000004</v>
      </c>
      <c r="L10" s="9"/>
      <c r="M10" s="2">
        <f t="shared" si="1"/>
        <v>73.350000000000009</v>
      </c>
      <c r="N10" s="17"/>
      <c r="O10" s="3" t="s">
        <v>47</v>
      </c>
      <c r="P10" s="3"/>
      <c r="Q10" s="10" t="s">
        <v>35</v>
      </c>
    </row>
    <row r="11" spans="1:17" ht="21" x14ac:dyDescent="0.25">
      <c r="A11" s="3">
        <v>24</v>
      </c>
      <c r="B11" s="3">
        <v>10</v>
      </c>
      <c r="C11" s="4" t="s">
        <v>11</v>
      </c>
      <c r="D11" s="4" t="s">
        <v>13</v>
      </c>
      <c r="E11" s="4" t="s">
        <v>17</v>
      </c>
      <c r="F11" s="2">
        <v>41.3</v>
      </c>
      <c r="G11" s="2">
        <v>4.0999999999999996</v>
      </c>
      <c r="H11" s="2"/>
      <c r="I11" s="2">
        <v>18.55</v>
      </c>
      <c r="J11" s="2">
        <v>36</v>
      </c>
      <c r="K11" s="2">
        <f t="shared" si="0"/>
        <v>45.4</v>
      </c>
      <c r="L11" s="9"/>
      <c r="M11" s="2">
        <f t="shared" si="1"/>
        <v>63.95</v>
      </c>
      <c r="N11" s="17"/>
      <c r="O11" s="3" t="s">
        <v>48</v>
      </c>
      <c r="P11" s="3"/>
      <c r="Q11" s="10" t="s">
        <v>35</v>
      </c>
    </row>
    <row r="12" spans="1:17" ht="21" x14ac:dyDescent="0.25">
      <c r="A12" s="3">
        <v>24</v>
      </c>
      <c r="B12" s="3">
        <v>11</v>
      </c>
      <c r="C12" s="4" t="s">
        <v>12</v>
      </c>
      <c r="D12" s="4" t="s">
        <v>13</v>
      </c>
      <c r="E12" s="4" t="s">
        <v>17</v>
      </c>
      <c r="F12" s="2">
        <v>49.25</v>
      </c>
      <c r="G12" s="2">
        <v>6.9</v>
      </c>
      <c r="H12" s="2"/>
      <c r="I12" s="2">
        <v>18.55</v>
      </c>
      <c r="J12" s="2">
        <v>43.45</v>
      </c>
      <c r="K12" s="2">
        <f t="shared" si="0"/>
        <v>56.15</v>
      </c>
      <c r="L12" s="9"/>
      <c r="M12" s="2">
        <f t="shared" si="1"/>
        <v>74.7</v>
      </c>
      <c r="N12" s="17">
        <v>4750000</v>
      </c>
      <c r="O12" s="3" t="s">
        <v>49</v>
      </c>
      <c r="P12" s="3"/>
      <c r="Q12" s="14" t="s">
        <v>22</v>
      </c>
    </row>
    <row r="13" spans="1:17" ht="21" x14ac:dyDescent="0.25">
      <c r="A13" s="3">
        <v>24</v>
      </c>
      <c r="B13" s="3">
        <v>12</v>
      </c>
      <c r="C13" s="4" t="s">
        <v>12</v>
      </c>
      <c r="D13" s="4" t="s">
        <v>13</v>
      </c>
      <c r="E13" s="4" t="s">
        <v>17</v>
      </c>
      <c r="F13" s="2">
        <v>46.65</v>
      </c>
      <c r="G13" s="2">
        <v>7.2</v>
      </c>
      <c r="H13" s="2"/>
      <c r="I13" s="2">
        <v>18.55</v>
      </c>
      <c r="J13" s="2">
        <v>41.45</v>
      </c>
      <c r="K13" s="2">
        <f t="shared" si="0"/>
        <v>53.85</v>
      </c>
      <c r="L13" s="9"/>
      <c r="M13" s="2">
        <f t="shared" si="1"/>
        <v>72.400000000000006</v>
      </c>
      <c r="N13" s="17">
        <v>4750000</v>
      </c>
      <c r="O13" s="3" t="s">
        <v>50</v>
      </c>
      <c r="P13" s="3"/>
      <c r="Q13" s="14" t="s">
        <v>22</v>
      </c>
    </row>
    <row r="14" spans="1:17" ht="21" hidden="1" x14ac:dyDescent="0.25">
      <c r="A14" s="3">
        <v>24</v>
      </c>
      <c r="B14" s="3">
        <v>13</v>
      </c>
      <c r="C14" s="4" t="s">
        <v>12</v>
      </c>
      <c r="D14" s="4" t="s">
        <v>13</v>
      </c>
      <c r="E14" s="4" t="s">
        <v>18</v>
      </c>
      <c r="F14" s="2">
        <v>63.75</v>
      </c>
      <c r="G14" s="2">
        <v>7.2</v>
      </c>
      <c r="H14" s="2"/>
      <c r="I14" s="2">
        <v>18.55</v>
      </c>
      <c r="J14" s="2">
        <v>56.95</v>
      </c>
      <c r="K14" s="2">
        <f t="shared" si="0"/>
        <v>70.95</v>
      </c>
      <c r="L14" s="9"/>
      <c r="M14" s="2">
        <f t="shared" si="1"/>
        <v>89.5</v>
      </c>
      <c r="N14" s="17"/>
      <c r="O14" s="3" t="s">
        <v>51</v>
      </c>
      <c r="P14" s="3"/>
      <c r="Q14" s="10" t="s">
        <v>35</v>
      </c>
    </row>
    <row r="15" spans="1:17" ht="21" x14ac:dyDescent="0.25">
      <c r="A15" s="3">
        <v>24</v>
      </c>
      <c r="B15" s="3">
        <v>14</v>
      </c>
      <c r="C15" s="4" t="s">
        <v>12</v>
      </c>
      <c r="D15" s="4" t="s">
        <v>13</v>
      </c>
      <c r="E15" s="4" t="s">
        <v>17</v>
      </c>
      <c r="F15" s="2">
        <v>49.15</v>
      </c>
      <c r="G15" s="2">
        <v>7.5</v>
      </c>
      <c r="H15" s="2"/>
      <c r="I15" s="2">
        <v>18.55</v>
      </c>
      <c r="J15" s="2">
        <v>43.75</v>
      </c>
      <c r="K15" s="2">
        <f t="shared" si="0"/>
        <v>56.65</v>
      </c>
      <c r="L15" s="9"/>
      <c r="M15" s="2">
        <f t="shared" si="1"/>
        <v>75.2</v>
      </c>
      <c r="N15" s="17"/>
      <c r="O15" s="3" t="s">
        <v>52</v>
      </c>
      <c r="P15" s="3"/>
      <c r="Q15" s="10" t="s">
        <v>35</v>
      </c>
    </row>
    <row r="16" spans="1:17" ht="21" x14ac:dyDescent="0.25">
      <c r="A16" s="3">
        <v>24</v>
      </c>
      <c r="B16" s="3">
        <v>15</v>
      </c>
      <c r="C16" s="4" t="s">
        <v>12</v>
      </c>
      <c r="D16" s="4" t="s">
        <v>13</v>
      </c>
      <c r="E16" s="4" t="s">
        <v>17</v>
      </c>
      <c r="F16" s="2">
        <v>49.65</v>
      </c>
      <c r="G16" s="2">
        <v>7.8</v>
      </c>
      <c r="H16" s="2"/>
      <c r="I16" s="2">
        <v>18.55</v>
      </c>
      <c r="J16" s="2">
        <v>44.15</v>
      </c>
      <c r="K16" s="2">
        <f t="shared" si="0"/>
        <v>57.449999999999996</v>
      </c>
      <c r="L16" s="9"/>
      <c r="M16" s="2">
        <f t="shared" si="1"/>
        <v>76</v>
      </c>
      <c r="N16" s="17"/>
      <c r="O16" s="3" t="s">
        <v>53</v>
      </c>
      <c r="P16" s="3"/>
      <c r="Q16" s="10" t="s">
        <v>35</v>
      </c>
    </row>
    <row r="17" spans="1:17" ht="21" x14ac:dyDescent="0.25">
      <c r="A17" s="3">
        <v>24</v>
      </c>
      <c r="B17" s="3">
        <v>16</v>
      </c>
      <c r="C17" s="4" t="s">
        <v>12</v>
      </c>
      <c r="D17" s="4" t="s">
        <v>13</v>
      </c>
      <c r="E17" s="4" t="s">
        <v>17</v>
      </c>
      <c r="F17" s="2">
        <v>49.5</v>
      </c>
      <c r="G17" s="2">
        <v>7.8</v>
      </c>
      <c r="H17" s="2"/>
      <c r="I17" s="2">
        <v>18.55</v>
      </c>
      <c r="J17" s="2">
        <v>44.5</v>
      </c>
      <c r="K17" s="2">
        <f t="shared" si="0"/>
        <v>57.3</v>
      </c>
      <c r="L17" s="9"/>
      <c r="M17" s="2">
        <f t="shared" si="1"/>
        <v>75.849999999999994</v>
      </c>
      <c r="N17" s="17"/>
      <c r="O17" s="3" t="s">
        <v>54</v>
      </c>
      <c r="P17" s="3"/>
      <c r="Q17" s="10" t="s">
        <v>35</v>
      </c>
    </row>
    <row r="18" spans="1:17" ht="21" x14ac:dyDescent="0.25">
      <c r="A18" s="3">
        <v>24</v>
      </c>
      <c r="B18" s="3">
        <v>17</v>
      </c>
      <c r="C18" s="4" t="s">
        <v>12</v>
      </c>
      <c r="D18" s="4" t="s">
        <v>13</v>
      </c>
      <c r="E18" s="4" t="s">
        <v>17</v>
      </c>
      <c r="F18" s="2">
        <v>49.3</v>
      </c>
      <c r="G18" s="2">
        <v>7.5</v>
      </c>
      <c r="H18" s="2"/>
      <c r="I18" s="2">
        <v>18.55</v>
      </c>
      <c r="J18" s="2">
        <v>44.45</v>
      </c>
      <c r="K18" s="2">
        <f t="shared" si="0"/>
        <v>56.8</v>
      </c>
      <c r="L18" s="9"/>
      <c r="M18" s="2">
        <f t="shared" si="1"/>
        <v>75.349999999999994</v>
      </c>
      <c r="N18" s="17"/>
      <c r="O18" s="3" t="s">
        <v>55</v>
      </c>
      <c r="P18" s="3"/>
      <c r="Q18" s="10" t="s">
        <v>35</v>
      </c>
    </row>
    <row r="19" spans="1:17" ht="21" hidden="1" x14ac:dyDescent="0.25">
      <c r="A19" s="3">
        <v>24</v>
      </c>
      <c r="B19" s="3">
        <v>18</v>
      </c>
      <c r="C19" s="4" t="s">
        <v>12</v>
      </c>
      <c r="D19" s="4" t="s">
        <v>13</v>
      </c>
      <c r="E19" s="4" t="s">
        <v>18</v>
      </c>
      <c r="F19" s="2">
        <v>63.75</v>
      </c>
      <c r="G19" s="2">
        <v>7.2</v>
      </c>
      <c r="H19" s="2"/>
      <c r="I19" s="2">
        <v>18.55</v>
      </c>
      <c r="J19" s="2">
        <v>56.95</v>
      </c>
      <c r="K19" s="2">
        <f>F19+G19</f>
        <v>70.95</v>
      </c>
      <c r="L19" s="9"/>
      <c r="M19" s="2">
        <f t="shared" si="1"/>
        <v>89.5</v>
      </c>
      <c r="N19" s="17">
        <v>7750000</v>
      </c>
      <c r="O19" s="3" t="s">
        <v>56</v>
      </c>
      <c r="P19" s="3"/>
      <c r="Q19" s="15" t="s">
        <v>22</v>
      </c>
    </row>
    <row r="20" spans="1:17" ht="21" x14ac:dyDescent="0.25">
      <c r="A20" s="3">
        <v>24</v>
      </c>
      <c r="B20" s="3">
        <v>19</v>
      </c>
      <c r="C20" s="4" t="s">
        <v>12</v>
      </c>
      <c r="D20" s="4" t="s">
        <v>13</v>
      </c>
      <c r="E20" s="4" t="s">
        <v>17</v>
      </c>
      <c r="F20" s="2">
        <v>47</v>
      </c>
      <c r="G20" s="2">
        <v>7</v>
      </c>
      <c r="H20" s="2"/>
      <c r="I20" s="2">
        <v>18.55</v>
      </c>
      <c r="J20" s="2">
        <v>42.15</v>
      </c>
      <c r="K20" s="2">
        <f>F20+G20</f>
        <v>54</v>
      </c>
      <c r="L20" s="9"/>
      <c r="M20" s="2">
        <f t="shared" si="1"/>
        <v>72.55</v>
      </c>
      <c r="N20" s="17"/>
      <c r="O20" s="3" t="s">
        <v>57</v>
      </c>
      <c r="P20" s="3"/>
      <c r="Q20" s="10" t="s">
        <v>35</v>
      </c>
    </row>
    <row r="21" spans="1:17" ht="21" x14ac:dyDescent="0.25">
      <c r="A21" s="3">
        <v>24</v>
      </c>
      <c r="B21" s="3">
        <v>20</v>
      </c>
      <c r="C21" s="4" t="s">
        <v>12</v>
      </c>
      <c r="D21" s="4" t="s">
        <v>13</v>
      </c>
      <c r="E21" s="4" t="s">
        <v>17</v>
      </c>
      <c r="F21" s="2">
        <v>48.9</v>
      </c>
      <c r="G21" s="2">
        <v>6.9</v>
      </c>
      <c r="H21" s="2"/>
      <c r="I21" s="2">
        <v>18.55</v>
      </c>
      <c r="J21" s="2">
        <v>43.35</v>
      </c>
      <c r="K21" s="2">
        <f>F21+G21</f>
        <v>55.8</v>
      </c>
      <c r="L21" s="9"/>
      <c r="M21" s="2">
        <f t="shared" si="1"/>
        <v>74.349999999999994</v>
      </c>
      <c r="N21" s="17"/>
      <c r="O21" s="3" t="s">
        <v>58</v>
      </c>
      <c r="P21" s="3"/>
      <c r="Q21" s="10" t="s">
        <v>35</v>
      </c>
    </row>
    <row r="22" spans="1:17" ht="21" hidden="1" x14ac:dyDescent="0.25">
      <c r="A22" s="3">
        <v>25</v>
      </c>
      <c r="B22" s="3">
        <v>1</v>
      </c>
      <c r="C22" s="4" t="s">
        <v>11</v>
      </c>
      <c r="D22" s="4" t="s">
        <v>13</v>
      </c>
      <c r="E22" s="4" t="s">
        <v>18</v>
      </c>
      <c r="F22" s="2">
        <v>60.05</v>
      </c>
      <c r="G22" s="2">
        <v>6.45</v>
      </c>
      <c r="H22" s="2"/>
      <c r="I22" s="2">
        <v>20.85</v>
      </c>
      <c r="J22" s="2">
        <v>52.9</v>
      </c>
      <c r="K22" s="2">
        <f>F22+G22</f>
        <v>66.5</v>
      </c>
      <c r="L22" s="9"/>
      <c r="M22" s="2">
        <f t="shared" si="1"/>
        <v>87.35</v>
      </c>
      <c r="N22" s="18"/>
      <c r="O22" s="3" t="s">
        <v>59</v>
      </c>
      <c r="P22" s="3"/>
      <c r="Q22" s="10" t="s">
        <v>35</v>
      </c>
    </row>
    <row r="23" spans="1:17" ht="21" x14ac:dyDescent="0.25">
      <c r="A23" s="3">
        <v>25</v>
      </c>
      <c r="B23" s="3">
        <v>2</v>
      </c>
      <c r="C23" s="4" t="s">
        <v>11</v>
      </c>
      <c r="D23" s="4" t="s">
        <v>13</v>
      </c>
      <c r="E23" s="4" t="s">
        <v>17</v>
      </c>
      <c r="F23" s="2">
        <v>44.2</v>
      </c>
      <c r="G23" s="2">
        <v>6.25</v>
      </c>
      <c r="H23" s="2"/>
      <c r="I23" s="2">
        <v>20.85</v>
      </c>
      <c r="J23" s="2">
        <v>39.1</v>
      </c>
      <c r="K23" s="2">
        <f t="shared" ref="K23:K37" si="2">F23+G23</f>
        <v>50.45</v>
      </c>
      <c r="L23" s="9"/>
      <c r="M23" s="2">
        <f t="shared" si="1"/>
        <v>71.300000000000011</v>
      </c>
      <c r="N23" s="19">
        <v>5500000</v>
      </c>
      <c r="O23" s="3" t="s">
        <v>60</v>
      </c>
      <c r="P23" s="3"/>
      <c r="Q23" s="12" t="s">
        <v>22</v>
      </c>
    </row>
    <row r="24" spans="1:17" ht="30" hidden="1" x14ac:dyDescent="0.25">
      <c r="A24" s="3">
        <v>25</v>
      </c>
      <c r="B24" s="3">
        <v>3</v>
      </c>
      <c r="C24" s="4" t="s">
        <v>15</v>
      </c>
      <c r="D24" s="4" t="s">
        <v>6</v>
      </c>
      <c r="E24" s="4" t="s">
        <v>8</v>
      </c>
      <c r="F24" s="2">
        <v>87.45</v>
      </c>
      <c r="G24" s="2">
        <v>6.15</v>
      </c>
      <c r="H24" s="2">
        <v>4.75</v>
      </c>
      <c r="I24" s="2">
        <v>20.85</v>
      </c>
      <c r="J24" s="2">
        <v>80</v>
      </c>
      <c r="K24" s="2">
        <f t="shared" si="2"/>
        <v>93.600000000000009</v>
      </c>
      <c r="L24" s="9"/>
      <c r="M24" s="2">
        <f t="shared" si="1"/>
        <v>119.20000000000002</v>
      </c>
      <c r="N24" s="18"/>
      <c r="O24" s="3" t="s">
        <v>61</v>
      </c>
      <c r="P24" s="3" t="s">
        <v>29</v>
      </c>
      <c r="Q24" s="10" t="s">
        <v>35</v>
      </c>
    </row>
    <row r="25" spans="1:17" ht="30" hidden="1" x14ac:dyDescent="0.25">
      <c r="A25" s="3">
        <v>25</v>
      </c>
      <c r="B25" s="3">
        <v>4</v>
      </c>
      <c r="C25" s="4" t="s">
        <v>15</v>
      </c>
      <c r="D25" s="4" t="s">
        <v>6</v>
      </c>
      <c r="E25" s="4" t="s">
        <v>8</v>
      </c>
      <c r="F25" s="2">
        <v>80.900000000000006</v>
      </c>
      <c r="G25" s="2">
        <v>5.85</v>
      </c>
      <c r="H25" s="2">
        <v>3.5</v>
      </c>
      <c r="I25" s="2">
        <v>20.9</v>
      </c>
      <c r="J25" s="2">
        <v>75.8</v>
      </c>
      <c r="K25" s="2">
        <f t="shared" si="2"/>
        <v>86.75</v>
      </c>
      <c r="L25" s="9"/>
      <c r="M25" s="2">
        <f t="shared" si="1"/>
        <v>111.15</v>
      </c>
      <c r="N25" s="18">
        <v>9500000</v>
      </c>
      <c r="O25" s="3" t="s">
        <v>62</v>
      </c>
      <c r="P25" s="3" t="s">
        <v>29</v>
      </c>
      <c r="Q25" s="12" t="s">
        <v>22</v>
      </c>
    </row>
    <row r="26" spans="1:17" ht="30" hidden="1" x14ac:dyDescent="0.25">
      <c r="A26" s="3">
        <v>25</v>
      </c>
      <c r="B26" s="3">
        <v>5</v>
      </c>
      <c r="C26" s="4" t="s">
        <v>15</v>
      </c>
      <c r="D26" s="4" t="s">
        <v>6</v>
      </c>
      <c r="E26" s="4" t="s">
        <v>24</v>
      </c>
      <c r="F26" s="2">
        <v>115.3</v>
      </c>
      <c r="G26" s="2">
        <v>6.05</v>
      </c>
      <c r="H26" s="2">
        <v>3.55</v>
      </c>
      <c r="I26" s="2">
        <v>20.9</v>
      </c>
      <c r="J26" s="2">
        <v>106.05</v>
      </c>
      <c r="K26" s="2">
        <f t="shared" si="2"/>
        <v>121.35</v>
      </c>
      <c r="L26" s="9"/>
      <c r="M26" s="2">
        <f t="shared" si="1"/>
        <v>145.79999999999998</v>
      </c>
      <c r="N26" s="18">
        <v>10000000</v>
      </c>
      <c r="O26" s="3" t="s">
        <v>63</v>
      </c>
      <c r="P26" s="3" t="s">
        <v>29</v>
      </c>
      <c r="Q26" s="13" t="s">
        <v>22</v>
      </c>
    </row>
    <row r="27" spans="1:17" ht="30" hidden="1" x14ac:dyDescent="0.25">
      <c r="A27" s="3">
        <v>25</v>
      </c>
      <c r="B27" s="3">
        <v>6</v>
      </c>
      <c r="C27" s="4" t="s">
        <v>15</v>
      </c>
      <c r="D27" s="4" t="s">
        <v>6</v>
      </c>
      <c r="E27" s="4" t="s">
        <v>24</v>
      </c>
      <c r="F27" s="2">
        <v>115.55</v>
      </c>
      <c r="G27" s="2">
        <v>6.1</v>
      </c>
      <c r="H27" s="2">
        <v>3.55</v>
      </c>
      <c r="I27" s="2">
        <v>20.9</v>
      </c>
      <c r="J27" s="2">
        <v>107.1</v>
      </c>
      <c r="K27" s="2">
        <f t="shared" si="2"/>
        <v>121.64999999999999</v>
      </c>
      <c r="L27" s="9"/>
      <c r="M27" s="2">
        <f t="shared" si="1"/>
        <v>146.1</v>
      </c>
      <c r="N27" s="18">
        <v>9750000</v>
      </c>
      <c r="O27" s="3" t="s">
        <v>64</v>
      </c>
      <c r="P27" s="3" t="s">
        <v>29</v>
      </c>
      <c r="Q27" s="14" t="s">
        <v>22</v>
      </c>
    </row>
    <row r="28" spans="1:17" ht="30" hidden="1" x14ac:dyDescent="0.25">
      <c r="A28" s="3">
        <v>25</v>
      </c>
      <c r="B28" s="3">
        <v>7</v>
      </c>
      <c r="C28" s="4" t="s">
        <v>15</v>
      </c>
      <c r="D28" s="4" t="s">
        <v>6</v>
      </c>
      <c r="E28" s="4" t="s">
        <v>8</v>
      </c>
      <c r="F28" s="2">
        <v>115.05</v>
      </c>
      <c r="G28" s="2">
        <v>4.3499999999999996</v>
      </c>
      <c r="H28" s="2">
        <v>3.8</v>
      </c>
      <c r="I28" s="2">
        <v>20.9</v>
      </c>
      <c r="J28" s="2">
        <v>106.6</v>
      </c>
      <c r="K28" s="2">
        <f t="shared" si="2"/>
        <v>119.39999999999999</v>
      </c>
      <c r="L28" s="9"/>
      <c r="M28" s="2">
        <f t="shared" si="1"/>
        <v>144.1</v>
      </c>
      <c r="N28" s="18">
        <v>9250000</v>
      </c>
      <c r="O28" s="3" t="s">
        <v>65</v>
      </c>
      <c r="P28" s="3" t="s">
        <v>29</v>
      </c>
      <c r="Q28" s="13" t="s">
        <v>22</v>
      </c>
    </row>
    <row r="29" spans="1:17" ht="21" x14ac:dyDescent="0.25">
      <c r="A29" s="3">
        <v>25</v>
      </c>
      <c r="B29" s="3">
        <v>8</v>
      </c>
      <c r="C29" s="4" t="s">
        <v>11</v>
      </c>
      <c r="D29" s="4" t="s">
        <v>13</v>
      </c>
      <c r="E29" s="4" t="s">
        <v>17</v>
      </c>
      <c r="F29" s="2">
        <v>49.95</v>
      </c>
      <c r="G29" s="2">
        <v>4.3499999999999996</v>
      </c>
      <c r="H29" s="2"/>
      <c r="I29" s="2">
        <v>20.85</v>
      </c>
      <c r="J29" s="2">
        <v>44.5</v>
      </c>
      <c r="K29" s="2">
        <f t="shared" si="2"/>
        <v>54.300000000000004</v>
      </c>
      <c r="L29" s="9"/>
      <c r="M29" s="2">
        <f t="shared" si="1"/>
        <v>75.150000000000006</v>
      </c>
      <c r="N29" s="18">
        <v>5500000</v>
      </c>
      <c r="O29" s="3" t="s">
        <v>66</v>
      </c>
      <c r="P29" s="16" t="s">
        <v>29</v>
      </c>
      <c r="Q29" s="12" t="s">
        <v>22</v>
      </c>
    </row>
    <row r="30" spans="1:17" ht="21" hidden="1" x14ac:dyDescent="0.25">
      <c r="A30" s="3">
        <v>25</v>
      </c>
      <c r="B30" s="3">
        <v>9</v>
      </c>
      <c r="C30" s="4" t="s">
        <v>11</v>
      </c>
      <c r="D30" s="4" t="s">
        <v>13</v>
      </c>
      <c r="E30" s="4" t="s">
        <v>18</v>
      </c>
      <c r="F30" s="2">
        <v>60.75</v>
      </c>
      <c r="G30" s="2">
        <v>6.65</v>
      </c>
      <c r="H30" s="2"/>
      <c r="I30" s="2">
        <v>20.85</v>
      </c>
      <c r="J30" s="2">
        <v>53.45</v>
      </c>
      <c r="K30" s="2">
        <f t="shared" si="2"/>
        <v>67.400000000000006</v>
      </c>
      <c r="L30" s="9"/>
      <c r="M30" s="2">
        <f t="shared" si="1"/>
        <v>88.25</v>
      </c>
      <c r="N30" s="18"/>
      <c r="O30" s="3" t="s">
        <v>67</v>
      </c>
      <c r="P30" s="3"/>
      <c r="Q30" s="10" t="s">
        <v>35</v>
      </c>
    </row>
    <row r="31" spans="1:17" ht="21" hidden="1" x14ac:dyDescent="0.25">
      <c r="A31" s="3">
        <v>25</v>
      </c>
      <c r="B31" s="3">
        <v>10</v>
      </c>
      <c r="C31" s="4" t="s">
        <v>12</v>
      </c>
      <c r="D31" s="4" t="s">
        <v>13</v>
      </c>
      <c r="E31" s="4" t="s">
        <v>18</v>
      </c>
      <c r="F31" s="2">
        <v>60.1</v>
      </c>
      <c r="G31" s="2">
        <v>6.45</v>
      </c>
      <c r="H31" s="2"/>
      <c r="I31" s="2">
        <v>20.85</v>
      </c>
      <c r="J31" s="2">
        <v>52.95</v>
      </c>
      <c r="K31" s="2">
        <f t="shared" si="2"/>
        <v>66.55</v>
      </c>
      <c r="L31" s="9"/>
      <c r="M31" s="2">
        <f t="shared" si="1"/>
        <v>87.4</v>
      </c>
      <c r="N31" s="18"/>
      <c r="O31" s="3" t="s">
        <v>68</v>
      </c>
      <c r="P31" s="3"/>
      <c r="Q31" s="10" t="s">
        <v>35</v>
      </c>
    </row>
    <row r="32" spans="1:17" ht="21" x14ac:dyDescent="0.25">
      <c r="A32" s="3">
        <v>25</v>
      </c>
      <c r="B32" s="3">
        <v>11</v>
      </c>
      <c r="C32" s="4" t="s">
        <v>12</v>
      </c>
      <c r="D32" s="4" t="s">
        <v>13</v>
      </c>
      <c r="E32" s="4" t="s">
        <v>17</v>
      </c>
      <c r="F32" s="2">
        <v>44.2</v>
      </c>
      <c r="G32" s="2">
        <v>6.25</v>
      </c>
      <c r="H32" s="2"/>
      <c r="I32" s="2">
        <v>20.85</v>
      </c>
      <c r="J32" s="2">
        <v>39.1</v>
      </c>
      <c r="K32" s="2">
        <f t="shared" si="2"/>
        <v>50.45</v>
      </c>
      <c r="L32" s="9"/>
      <c r="M32" s="2">
        <f t="shared" si="1"/>
        <v>71.300000000000011</v>
      </c>
      <c r="N32" s="18"/>
      <c r="O32" s="3" t="s">
        <v>69</v>
      </c>
      <c r="P32" s="3"/>
      <c r="Q32" s="10" t="s">
        <v>35</v>
      </c>
    </row>
    <row r="33" spans="1:17" ht="21" hidden="1" x14ac:dyDescent="0.25">
      <c r="A33" s="3">
        <v>25</v>
      </c>
      <c r="B33" s="3">
        <v>12</v>
      </c>
      <c r="C33" s="4" t="s">
        <v>12</v>
      </c>
      <c r="D33" s="4" t="s">
        <v>13</v>
      </c>
      <c r="E33" s="4" t="s">
        <v>18</v>
      </c>
      <c r="F33" s="2">
        <v>60.75</v>
      </c>
      <c r="G33" s="2">
        <v>6.2</v>
      </c>
      <c r="H33" s="2"/>
      <c r="I33" s="2">
        <v>20.85</v>
      </c>
      <c r="J33" s="2">
        <v>54.1</v>
      </c>
      <c r="K33" s="2">
        <f t="shared" si="2"/>
        <v>66.95</v>
      </c>
      <c r="L33" s="9"/>
      <c r="M33" s="2">
        <f t="shared" si="1"/>
        <v>87.800000000000011</v>
      </c>
      <c r="N33" s="18"/>
      <c r="O33" s="3" t="s">
        <v>70</v>
      </c>
      <c r="P33" s="3"/>
      <c r="Q33" s="10" t="s">
        <v>35</v>
      </c>
    </row>
    <row r="34" spans="1:17" ht="21" x14ac:dyDescent="0.25">
      <c r="A34" s="3">
        <v>25</v>
      </c>
      <c r="B34" s="3">
        <v>13</v>
      </c>
      <c r="C34" s="4" t="s">
        <v>12</v>
      </c>
      <c r="D34" s="4" t="s">
        <v>13</v>
      </c>
      <c r="E34" s="4" t="s">
        <v>17</v>
      </c>
      <c r="F34" s="2">
        <v>44.6</v>
      </c>
      <c r="G34" s="2">
        <v>5.9</v>
      </c>
      <c r="H34" s="2"/>
      <c r="I34" s="2">
        <v>20.85</v>
      </c>
      <c r="J34" s="2">
        <v>39.5</v>
      </c>
      <c r="K34" s="2">
        <f t="shared" si="2"/>
        <v>50.5</v>
      </c>
      <c r="L34" s="9"/>
      <c r="M34" s="2">
        <f t="shared" ref="M34:M65" si="3">+F34+G34+H34+L34+I34</f>
        <v>71.349999999999994</v>
      </c>
      <c r="N34" s="18"/>
      <c r="O34" s="3" t="s">
        <v>71</v>
      </c>
      <c r="P34" s="3"/>
      <c r="Q34" s="10" t="s">
        <v>35</v>
      </c>
    </row>
    <row r="35" spans="1:17" ht="21" hidden="1" x14ac:dyDescent="0.25">
      <c r="A35" s="3">
        <v>25</v>
      </c>
      <c r="B35" s="3">
        <v>14</v>
      </c>
      <c r="C35" s="4" t="s">
        <v>12</v>
      </c>
      <c r="D35" s="4" t="s">
        <v>13</v>
      </c>
      <c r="E35" s="4" t="s">
        <v>18</v>
      </c>
      <c r="F35" s="2">
        <v>62.95</v>
      </c>
      <c r="G35" s="2">
        <v>6.85</v>
      </c>
      <c r="H35" s="2"/>
      <c r="I35" s="2">
        <v>20.85</v>
      </c>
      <c r="J35" s="2">
        <v>55.85</v>
      </c>
      <c r="K35" s="2">
        <f t="shared" si="2"/>
        <v>69.8</v>
      </c>
      <c r="L35" s="9"/>
      <c r="M35" s="2">
        <f t="shared" si="3"/>
        <v>90.65</v>
      </c>
      <c r="N35" s="18"/>
      <c r="O35" s="3" t="s">
        <v>72</v>
      </c>
      <c r="P35" s="3"/>
      <c r="Q35" s="10" t="s">
        <v>35</v>
      </c>
    </row>
    <row r="36" spans="1:17" ht="21" hidden="1" x14ac:dyDescent="0.25">
      <c r="A36" s="3">
        <v>25</v>
      </c>
      <c r="B36" s="3">
        <v>15</v>
      </c>
      <c r="C36" s="4" t="s">
        <v>12</v>
      </c>
      <c r="D36" s="4" t="s">
        <v>13</v>
      </c>
      <c r="E36" s="4" t="s">
        <v>18</v>
      </c>
      <c r="F36" s="2">
        <v>63.1</v>
      </c>
      <c r="G36" s="2">
        <v>6.85</v>
      </c>
      <c r="H36" s="2"/>
      <c r="I36" s="2">
        <v>20.85</v>
      </c>
      <c r="J36" s="2">
        <v>56.35</v>
      </c>
      <c r="K36" s="2">
        <f t="shared" si="2"/>
        <v>69.95</v>
      </c>
      <c r="L36" s="9"/>
      <c r="M36" s="2">
        <f t="shared" si="3"/>
        <v>90.800000000000011</v>
      </c>
      <c r="N36" s="18"/>
      <c r="O36" s="3" t="s">
        <v>73</v>
      </c>
      <c r="P36" s="3"/>
      <c r="Q36" s="10" t="s">
        <v>35</v>
      </c>
    </row>
    <row r="37" spans="1:17" ht="21" hidden="1" x14ac:dyDescent="0.25">
      <c r="A37" s="3">
        <v>25</v>
      </c>
      <c r="B37" s="3">
        <v>16</v>
      </c>
      <c r="C37" s="4" t="s">
        <v>12</v>
      </c>
      <c r="D37" s="4" t="s">
        <v>13</v>
      </c>
      <c r="E37" s="4" t="s">
        <v>18</v>
      </c>
      <c r="F37" s="2">
        <v>63.2</v>
      </c>
      <c r="G37" s="2">
        <v>4.3499999999999996</v>
      </c>
      <c r="H37" s="2"/>
      <c r="I37" s="2">
        <v>20.85</v>
      </c>
      <c r="J37" s="2">
        <v>56.95</v>
      </c>
      <c r="K37" s="2">
        <f t="shared" si="2"/>
        <v>67.55</v>
      </c>
      <c r="L37" s="9"/>
      <c r="M37" s="2">
        <f t="shared" si="3"/>
        <v>88.4</v>
      </c>
      <c r="N37" s="18"/>
      <c r="O37" s="3" t="s">
        <v>74</v>
      </c>
      <c r="P37" s="3"/>
      <c r="Q37" s="10" t="s">
        <v>35</v>
      </c>
    </row>
    <row r="38" spans="1:17" ht="21" hidden="1" x14ac:dyDescent="0.25">
      <c r="A38" s="3">
        <v>25</v>
      </c>
      <c r="B38" s="3">
        <v>17</v>
      </c>
      <c r="C38" s="4" t="s">
        <v>12</v>
      </c>
      <c r="D38" s="4" t="s">
        <v>13</v>
      </c>
      <c r="E38" s="4" t="s">
        <v>18</v>
      </c>
      <c r="F38" s="2">
        <v>63.2</v>
      </c>
      <c r="G38" s="2">
        <v>4.3499999999999996</v>
      </c>
      <c r="H38" s="2"/>
      <c r="I38" s="2">
        <v>20.85</v>
      </c>
      <c r="J38" s="2">
        <v>56.95</v>
      </c>
      <c r="K38" s="2">
        <f>F38+G38</f>
        <v>67.55</v>
      </c>
      <c r="L38" s="9"/>
      <c r="M38" s="2">
        <f t="shared" si="3"/>
        <v>88.4</v>
      </c>
      <c r="N38" s="18"/>
      <c r="O38" s="3" t="s">
        <v>75</v>
      </c>
      <c r="P38" s="3"/>
      <c r="Q38" s="10" t="s">
        <v>35</v>
      </c>
    </row>
    <row r="39" spans="1:17" ht="21" hidden="1" x14ac:dyDescent="0.25">
      <c r="A39" s="3">
        <v>25</v>
      </c>
      <c r="B39" s="3">
        <v>18</v>
      </c>
      <c r="C39" s="4" t="s">
        <v>12</v>
      </c>
      <c r="D39" s="4" t="s">
        <v>13</v>
      </c>
      <c r="E39" s="4" t="s">
        <v>18</v>
      </c>
      <c r="F39" s="2">
        <v>59.8</v>
      </c>
      <c r="G39" s="2">
        <v>6.85</v>
      </c>
      <c r="H39" s="2"/>
      <c r="I39" s="2">
        <v>20.85</v>
      </c>
      <c r="J39" s="2">
        <v>53.05</v>
      </c>
      <c r="K39" s="2">
        <f>F39+G39</f>
        <v>66.649999999999991</v>
      </c>
      <c r="L39" s="9"/>
      <c r="M39" s="2">
        <f t="shared" si="3"/>
        <v>87.5</v>
      </c>
      <c r="N39" s="18"/>
      <c r="O39" s="3" t="s">
        <v>76</v>
      </c>
      <c r="P39" s="3"/>
      <c r="Q39" s="10" t="s">
        <v>35</v>
      </c>
    </row>
    <row r="40" spans="1:17" ht="30" hidden="1" x14ac:dyDescent="0.25">
      <c r="A40" s="3">
        <v>26</v>
      </c>
      <c r="B40" s="3">
        <v>1</v>
      </c>
      <c r="C40" s="4" t="s">
        <v>15</v>
      </c>
      <c r="D40" s="4" t="s">
        <v>26</v>
      </c>
      <c r="E40" s="4" t="s">
        <v>8</v>
      </c>
      <c r="F40" s="2">
        <v>84.45</v>
      </c>
      <c r="G40" s="2">
        <v>6.15</v>
      </c>
      <c r="H40" s="2">
        <v>3.55</v>
      </c>
      <c r="I40" s="2">
        <v>9.9</v>
      </c>
      <c r="J40" s="2">
        <v>78.05</v>
      </c>
      <c r="K40" s="2">
        <f t="shared" ref="K40:K56" si="4">F40+G40</f>
        <v>90.600000000000009</v>
      </c>
      <c r="L40" s="9"/>
      <c r="M40" s="2">
        <f t="shared" si="3"/>
        <v>104.05000000000001</v>
      </c>
      <c r="N40" s="18"/>
      <c r="O40" s="3" t="s">
        <v>77</v>
      </c>
      <c r="P40" s="3" t="s">
        <v>29</v>
      </c>
      <c r="Q40" s="10" t="s">
        <v>35</v>
      </c>
    </row>
    <row r="41" spans="1:17" ht="30" hidden="1" x14ac:dyDescent="0.25">
      <c r="A41" s="3">
        <v>26</v>
      </c>
      <c r="B41" s="3">
        <v>2</v>
      </c>
      <c r="C41" s="4" t="s">
        <v>15</v>
      </c>
      <c r="D41" s="4" t="s">
        <v>26</v>
      </c>
      <c r="E41" s="4" t="s">
        <v>8</v>
      </c>
      <c r="F41" s="2">
        <v>83.7</v>
      </c>
      <c r="G41" s="2">
        <v>6.2</v>
      </c>
      <c r="H41" s="2">
        <v>3.75</v>
      </c>
      <c r="I41" s="2">
        <v>9.9</v>
      </c>
      <c r="J41" s="2">
        <v>78.900000000000006</v>
      </c>
      <c r="K41" s="2">
        <f t="shared" si="4"/>
        <v>89.9</v>
      </c>
      <c r="L41" s="9"/>
      <c r="M41" s="2">
        <f t="shared" si="3"/>
        <v>103.55000000000001</v>
      </c>
      <c r="N41" s="18">
        <v>8750000</v>
      </c>
      <c r="O41" s="3" t="s">
        <v>78</v>
      </c>
      <c r="P41" s="3" t="s">
        <v>29</v>
      </c>
      <c r="Q41" s="14" t="s">
        <v>22</v>
      </c>
    </row>
    <row r="42" spans="1:17" ht="30" hidden="1" x14ac:dyDescent="0.25">
      <c r="A42" s="3">
        <v>26</v>
      </c>
      <c r="B42" s="3">
        <v>3</v>
      </c>
      <c r="C42" s="4" t="s">
        <v>15</v>
      </c>
      <c r="D42" s="4" t="s">
        <v>6</v>
      </c>
      <c r="E42" s="4" t="s">
        <v>24</v>
      </c>
      <c r="F42" s="2">
        <v>111.15</v>
      </c>
      <c r="G42" s="2">
        <v>6.35</v>
      </c>
      <c r="H42" s="2">
        <v>5.15</v>
      </c>
      <c r="I42" s="2">
        <v>9.9</v>
      </c>
      <c r="J42" s="2">
        <v>103.85</v>
      </c>
      <c r="K42" s="2">
        <f t="shared" si="4"/>
        <v>117.5</v>
      </c>
      <c r="L42" s="9"/>
      <c r="M42" s="2">
        <f t="shared" si="3"/>
        <v>132.55000000000001</v>
      </c>
      <c r="N42" s="18">
        <v>11000000</v>
      </c>
      <c r="O42" s="3" t="s">
        <v>79</v>
      </c>
      <c r="P42" s="3" t="s">
        <v>29</v>
      </c>
      <c r="Q42" s="12" t="s">
        <v>22</v>
      </c>
    </row>
    <row r="43" spans="1:17" ht="30" hidden="1" x14ac:dyDescent="0.25">
      <c r="A43" s="3">
        <v>26</v>
      </c>
      <c r="B43" s="3">
        <v>4</v>
      </c>
      <c r="C43" s="4" t="s">
        <v>15</v>
      </c>
      <c r="D43" s="4" t="s">
        <v>6</v>
      </c>
      <c r="E43" s="4" t="s">
        <v>8</v>
      </c>
      <c r="F43" s="2">
        <v>100.45</v>
      </c>
      <c r="G43" s="2">
        <v>6.6</v>
      </c>
      <c r="H43" s="2">
        <v>3.75</v>
      </c>
      <c r="I43" s="2">
        <v>9.9</v>
      </c>
      <c r="J43" s="2">
        <v>93</v>
      </c>
      <c r="K43" s="2">
        <f t="shared" si="4"/>
        <v>107.05</v>
      </c>
      <c r="L43" s="9"/>
      <c r="M43" s="2">
        <f t="shared" si="3"/>
        <v>120.7</v>
      </c>
      <c r="N43" s="18">
        <v>8750000</v>
      </c>
      <c r="O43" s="3" t="s">
        <v>80</v>
      </c>
      <c r="P43" s="3" t="s">
        <v>29</v>
      </c>
      <c r="Q43" s="14" t="s">
        <v>22</v>
      </c>
    </row>
    <row r="44" spans="1:17" ht="30" hidden="1" x14ac:dyDescent="0.25">
      <c r="A44" s="3">
        <v>26</v>
      </c>
      <c r="B44" s="3">
        <v>5</v>
      </c>
      <c r="C44" s="4" t="s">
        <v>15</v>
      </c>
      <c r="D44" s="4" t="s">
        <v>6</v>
      </c>
      <c r="E44" s="4" t="s">
        <v>8</v>
      </c>
      <c r="F44" s="2">
        <v>102.4</v>
      </c>
      <c r="G44" s="2">
        <v>6.65</v>
      </c>
      <c r="H44" s="2">
        <v>3.5</v>
      </c>
      <c r="I44" s="2">
        <v>9.9</v>
      </c>
      <c r="J44" s="2">
        <v>95.25</v>
      </c>
      <c r="K44" s="2">
        <f t="shared" si="4"/>
        <v>109.05000000000001</v>
      </c>
      <c r="L44" s="9"/>
      <c r="M44" s="2">
        <f t="shared" si="3"/>
        <v>122.45000000000002</v>
      </c>
      <c r="N44" s="18">
        <v>8750000</v>
      </c>
      <c r="O44" s="3" t="s">
        <v>81</v>
      </c>
      <c r="P44" s="3" t="s">
        <v>29</v>
      </c>
      <c r="Q44" s="14" t="s">
        <v>22</v>
      </c>
    </row>
    <row r="45" spans="1:17" ht="30" hidden="1" x14ac:dyDescent="0.25">
      <c r="A45" s="3">
        <v>26</v>
      </c>
      <c r="B45" s="3">
        <v>6</v>
      </c>
      <c r="C45" s="4" t="s">
        <v>15</v>
      </c>
      <c r="D45" s="4" t="s">
        <v>6</v>
      </c>
      <c r="E45" s="4" t="s">
        <v>8</v>
      </c>
      <c r="F45" s="2">
        <v>89.1</v>
      </c>
      <c r="G45" s="2">
        <v>6.65</v>
      </c>
      <c r="H45" s="2">
        <v>3.75</v>
      </c>
      <c r="I45" s="2">
        <v>9.9</v>
      </c>
      <c r="J45" s="2">
        <v>83.3</v>
      </c>
      <c r="K45" s="2">
        <f t="shared" si="4"/>
        <v>95.75</v>
      </c>
      <c r="L45" s="9"/>
      <c r="M45" s="2">
        <f t="shared" si="3"/>
        <v>109.4</v>
      </c>
      <c r="N45" s="18">
        <v>9000000</v>
      </c>
      <c r="O45" s="3" t="s">
        <v>82</v>
      </c>
      <c r="P45" s="3" t="s">
        <v>29</v>
      </c>
      <c r="Q45" s="13" t="s">
        <v>22</v>
      </c>
    </row>
    <row r="46" spans="1:17" ht="30" hidden="1" x14ac:dyDescent="0.25">
      <c r="A46" s="3">
        <v>26</v>
      </c>
      <c r="B46" s="3">
        <v>7</v>
      </c>
      <c r="C46" s="4" t="s">
        <v>15</v>
      </c>
      <c r="D46" s="4" t="s">
        <v>6</v>
      </c>
      <c r="E46" s="4" t="s">
        <v>8</v>
      </c>
      <c r="F46" s="2">
        <v>88.65</v>
      </c>
      <c r="G46" s="2">
        <v>6.6</v>
      </c>
      <c r="H46" s="2">
        <v>3.5</v>
      </c>
      <c r="I46" s="2">
        <v>9.9</v>
      </c>
      <c r="J46" s="2">
        <v>82.75</v>
      </c>
      <c r="K46" s="2">
        <f t="shared" si="4"/>
        <v>95.25</v>
      </c>
      <c r="L46" s="9"/>
      <c r="M46" s="2">
        <f t="shared" si="3"/>
        <v>108.65</v>
      </c>
      <c r="N46" s="18"/>
      <c r="O46" s="3" t="s">
        <v>83</v>
      </c>
      <c r="P46" s="3" t="s">
        <v>29</v>
      </c>
      <c r="Q46" s="10" t="s">
        <v>35</v>
      </c>
    </row>
    <row r="47" spans="1:17" ht="30" hidden="1" x14ac:dyDescent="0.25">
      <c r="A47" s="3">
        <v>26</v>
      </c>
      <c r="B47" s="3">
        <v>8</v>
      </c>
      <c r="C47" s="4" t="s">
        <v>15</v>
      </c>
      <c r="D47" s="4" t="s">
        <v>6</v>
      </c>
      <c r="E47" s="4" t="s">
        <v>8</v>
      </c>
      <c r="F47" s="2">
        <v>96.15</v>
      </c>
      <c r="G47" s="2">
        <v>6.35</v>
      </c>
      <c r="H47" s="2">
        <v>5.15</v>
      </c>
      <c r="I47" s="2">
        <v>9.9</v>
      </c>
      <c r="J47" s="2">
        <v>88.25</v>
      </c>
      <c r="K47" s="2">
        <f t="shared" si="4"/>
        <v>102.5</v>
      </c>
      <c r="L47" s="9"/>
      <c r="M47" s="2">
        <f t="shared" si="3"/>
        <v>117.55000000000001</v>
      </c>
      <c r="N47" s="18"/>
      <c r="O47" s="3" t="s">
        <v>84</v>
      </c>
      <c r="P47" s="3" t="s">
        <v>29</v>
      </c>
      <c r="Q47" s="10" t="s">
        <v>35</v>
      </c>
    </row>
    <row r="48" spans="1:17" ht="21" x14ac:dyDescent="0.25">
      <c r="A48" s="3">
        <v>26</v>
      </c>
      <c r="B48" s="3">
        <v>9</v>
      </c>
      <c r="C48" s="4" t="s">
        <v>11</v>
      </c>
      <c r="D48" s="4" t="s">
        <v>13</v>
      </c>
      <c r="E48" s="4" t="s">
        <v>17</v>
      </c>
      <c r="F48" s="2">
        <v>47.1</v>
      </c>
      <c r="G48" s="2">
        <v>6.15</v>
      </c>
      <c r="H48" s="2"/>
      <c r="I48" s="2">
        <v>9.8000000000000007</v>
      </c>
      <c r="J48" s="2">
        <v>41.95</v>
      </c>
      <c r="K48" s="2">
        <f t="shared" si="4"/>
        <v>53.25</v>
      </c>
      <c r="L48" s="9"/>
      <c r="M48" s="2">
        <f t="shared" si="3"/>
        <v>63.05</v>
      </c>
      <c r="N48" s="18"/>
      <c r="O48" s="3" t="s">
        <v>85</v>
      </c>
      <c r="P48" s="3"/>
      <c r="Q48" s="10" t="s">
        <v>35</v>
      </c>
    </row>
    <row r="49" spans="1:17" ht="30" hidden="1" x14ac:dyDescent="0.25">
      <c r="A49" s="3">
        <v>26</v>
      </c>
      <c r="B49" s="3">
        <v>10</v>
      </c>
      <c r="C49" s="4" t="s">
        <v>15</v>
      </c>
      <c r="D49" s="4" t="s">
        <v>26</v>
      </c>
      <c r="E49" s="4" t="s">
        <v>8</v>
      </c>
      <c r="F49" s="2">
        <v>80</v>
      </c>
      <c r="G49" s="2">
        <v>4.0999999999999996</v>
      </c>
      <c r="H49" s="2">
        <v>3.4</v>
      </c>
      <c r="I49" s="2">
        <v>9.9</v>
      </c>
      <c r="J49" s="2">
        <v>73.099999999999994</v>
      </c>
      <c r="K49" s="2">
        <f t="shared" si="4"/>
        <v>84.1</v>
      </c>
      <c r="L49" s="9"/>
      <c r="M49" s="2">
        <f t="shared" si="3"/>
        <v>97.4</v>
      </c>
      <c r="N49" s="18">
        <v>8750000</v>
      </c>
      <c r="O49" s="3" t="s">
        <v>86</v>
      </c>
      <c r="P49" s="3" t="s">
        <v>29</v>
      </c>
      <c r="Q49" s="14" t="s">
        <v>22</v>
      </c>
    </row>
    <row r="50" spans="1:17" ht="21" x14ac:dyDescent="0.25">
      <c r="A50" s="3">
        <v>26</v>
      </c>
      <c r="B50" s="3">
        <v>11</v>
      </c>
      <c r="C50" s="4" t="s">
        <v>12</v>
      </c>
      <c r="D50" s="4" t="s">
        <v>13</v>
      </c>
      <c r="E50" s="4" t="s">
        <v>17</v>
      </c>
      <c r="F50" s="2">
        <v>47.4</v>
      </c>
      <c r="G50" s="2">
        <v>7.1</v>
      </c>
      <c r="H50" s="2"/>
      <c r="I50" s="2">
        <v>9.85</v>
      </c>
      <c r="J50" s="2">
        <v>42.65</v>
      </c>
      <c r="K50" s="2">
        <f t="shared" si="4"/>
        <v>54.5</v>
      </c>
      <c r="L50" s="9"/>
      <c r="M50" s="2">
        <f t="shared" si="3"/>
        <v>64.349999999999994</v>
      </c>
      <c r="N50" s="18"/>
      <c r="O50" s="3" t="s">
        <v>87</v>
      </c>
      <c r="P50" s="3"/>
      <c r="Q50" s="10" t="s">
        <v>35</v>
      </c>
    </row>
    <row r="51" spans="1:17" ht="21" x14ac:dyDescent="0.25">
      <c r="A51" s="3">
        <v>26</v>
      </c>
      <c r="B51" s="3">
        <v>12</v>
      </c>
      <c r="C51" s="4" t="s">
        <v>12</v>
      </c>
      <c r="D51" s="4" t="s">
        <v>13</v>
      </c>
      <c r="E51" s="4" t="s">
        <v>17</v>
      </c>
      <c r="F51" s="2">
        <v>45.35</v>
      </c>
      <c r="G51" s="2">
        <v>7.2</v>
      </c>
      <c r="H51" s="2"/>
      <c r="I51" s="2">
        <v>9.8000000000000007</v>
      </c>
      <c r="J51" s="2">
        <v>41.3</v>
      </c>
      <c r="K51" s="2">
        <f t="shared" si="4"/>
        <v>52.550000000000004</v>
      </c>
      <c r="L51" s="9"/>
      <c r="M51" s="2">
        <f t="shared" si="3"/>
        <v>62.350000000000009</v>
      </c>
      <c r="N51" s="18"/>
      <c r="O51" s="3" t="s">
        <v>88</v>
      </c>
      <c r="P51" s="3"/>
      <c r="Q51" s="10" t="s">
        <v>35</v>
      </c>
    </row>
    <row r="52" spans="1:17" ht="21" hidden="1" x14ac:dyDescent="0.25">
      <c r="A52" s="3">
        <v>26</v>
      </c>
      <c r="B52" s="3">
        <v>13</v>
      </c>
      <c r="C52" s="4" t="s">
        <v>12</v>
      </c>
      <c r="D52" s="4" t="s">
        <v>13</v>
      </c>
      <c r="E52" s="4" t="s">
        <v>18</v>
      </c>
      <c r="F52" s="2">
        <v>62.05</v>
      </c>
      <c r="G52" s="2">
        <v>7.2</v>
      </c>
      <c r="H52" s="2"/>
      <c r="I52" s="2">
        <v>9.85</v>
      </c>
      <c r="J52" s="2">
        <v>56.15</v>
      </c>
      <c r="K52" s="2">
        <f t="shared" si="4"/>
        <v>69.25</v>
      </c>
      <c r="L52" s="9"/>
      <c r="M52" s="2">
        <f t="shared" si="3"/>
        <v>79.099999999999994</v>
      </c>
      <c r="N52" s="18"/>
      <c r="O52" s="3" t="s">
        <v>89</v>
      </c>
      <c r="P52" s="3"/>
      <c r="Q52" s="10" t="s">
        <v>35</v>
      </c>
    </row>
    <row r="53" spans="1:17" ht="21" x14ac:dyDescent="0.25">
      <c r="A53" s="3">
        <v>26</v>
      </c>
      <c r="B53" s="3">
        <v>14</v>
      </c>
      <c r="C53" s="4" t="s">
        <v>12</v>
      </c>
      <c r="D53" s="4" t="s">
        <v>13</v>
      </c>
      <c r="E53" s="4" t="s">
        <v>17</v>
      </c>
      <c r="F53" s="2">
        <v>47.55</v>
      </c>
      <c r="G53" s="2">
        <v>7.5</v>
      </c>
      <c r="H53" s="2"/>
      <c r="I53" s="2">
        <v>9.85</v>
      </c>
      <c r="J53" s="2">
        <v>43.15</v>
      </c>
      <c r="K53" s="2">
        <f t="shared" si="4"/>
        <v>55.05</v>
      </c>
      <c r="L53" s="9"/>
      <c r="M53" s="2">
        <f t="shared" si="3"/>
        <v>64.899999999999991</v>
      </c>
      <c r="N53" s="18">
        <v>5250000</v>
      </c>
      <c r="O53" s="3" t="s">
        <v>90</v>
      </c>
      <c r="P53" s="3"/>
      <c r="Q53" s="12" t="s">
        <v>22</v>
      </c>
    </row>
    <row r="54" spans="1:17" ht="21" x14ac:dyDescent="0.25">
      <c r="A54" s="3">
        <v>26</v>
      </c>
      <c r="B54" s="3">
        <v>15</v>
      </c>
      <c r="C54" s="4" t="s">
        <v>12</v>
      </c>
      <c r="D54" s="4" t="s">
        <v>13</v>
      </c>
      <c r="E54" s="4" t="s">
        <v>17</v>
      </c>
      <c r="F54" s="2">
        <v>48.1</v>
      </c>
      <c r="G54" s="2">
        <v>7.8</v>
      </c>
      <c r="H54" s="2"/>
      <c r="I54" s="2">
        <v>9.85</v>
      </c>
      <c r="J54" s="2">
        <v>43.7</v>
      </c>
      <c r="K54" s="2">
        <f t="shared" si="4"/>
        <v>55.9</v>
      </c>
      <c r="L54" s="9"/>
      <c r="M54" s="2">
        <f t="shared" si="3"/>
        <v>65.75</v>
      </c>
      <c r="N54" s="18"/>
      <c r="O54" s="3" t="s">
        <v>91</v>
      </c>
      <c r="P54" s="3"/>
      <c r="Q54" s="10" t="s">
        <v>35</v>
      </c>
    </row>
    <row r="55" spans="1:17" ht="21" x14ac:dyDescent="0.25">
      <c r="A55" s="3">
        <v>26</v>
      </c>
      <c r="B55" s="3">
        <v>16</v>
      </c>
      <c r="C55" s="4" t="s">
        <v>12</v>
      </c>
      <c r="D55" s="4" t="s">
        <v>13</v>
      </c>
      <c r="E55" s="4" t="s">
        <v>17</v>
      </c>
      <c r="F55" s="2">
        <v>47.9</v>
      </c>
      <c r="G55" s="2">
        <v>7.8</v>
      </c>
      <c r="H55" s="2"/>
      <c r="I55" s="2">
        <v>9.85</v>
      </c>
      <c r="J55" s="2">
        <v>44.05</v>
      </c>
      <c r="K55" s="2">
        <f t="shared" si="4"/>
        <v>55.699999999999996</v>
      </c>
      <c r="L55" s="9"/>
      <c r="M55" s="2">
        <f t="shared" si="3"/>
        <v>65.55</v>
      </c>
      <c r="N55" s="18"/>
      <c r="O55" s="3" t="s">
        <v>92</v>
      </c>
      <c r="P55" s="3"/>
      <c r="Q55" s="10" t="s">
        <v>35</v>
      </c>
    </row>
    <row r="56" spans="1:17" ht="21" x14ac:dyDescent="0.25">
      <c r="A56" s="3">
        <v>26</v>
      </c>
      <c r="B56" s="3">
        <v>17</v>
      </c>
      <c r="C56" s="4" t="s">
        <v>12</v>
      </c>
      <c r="D56" s="4" t="s">
        <v>13</v>
      </c>
      <c r="E56" s="4" t="s">
        <v>17</v>
      </c>
      <c r="F56" s="2">
        <v>47.7</v>
      </c>
      <c r="G56" s="2">
        <v>7.5</v>
      </c>
      <c r="H56" s="2"/>
      <c r="I56" s="2">
        <v>9.85</v>
      </c>
      <c r="J56" s="2">
        <v>43.8</v>
      </c>
      <c r="K56" s="2">
        <f t="shared" si="4"/>
        <v>55.2</v>
      </c>
      <c r="L56" s="9"/>
      <c r="M56" s="2">
        <f t="shared" si="3"/>
        <v>65.05</v>
      </c>
      <c r="N56" s="18"/>
      <c r="O56" s="3" t="s">
        <v>93</v>
      </c>
      <c r="P56" s="3"/>
      <c r="Q56" s="10" t="s">
        <v>35</v>
      </c>
    </row>
    <row r="57" spans="1:17" ht="21" hidden="1" x14ac:dyDescent="0.25">
      <c r="A57" s="3">
        <v>26</v>
      </c>
      <c r="B57" s="3">
        <v>18</v>
      </c>
      <c r="C57" s="4" t="s">
        <v>12</v>
      </c>
      <c r="D57" s="4" t="s">
        <v>13</v>
      </c>
      <c r="E57" s="4" t="s">
        <v>18</v>
      </c>
      <c r="F57" s="2">
        <v>62.05</v>
      </c>
      <c r="G57" s="2">
        <v>7.2</v>
      </c>
      <c r="H57" s="2"/>
      <c r="I57" s="2">
        <v>9.85</v>
      </c>
      <c r="J57" s="2">
        <v>56.15</v>
      </c>
      <c r="K57" s="2">
        <f>F57+G57</f>
        <v>69.25</v>
      </c>
      <c r="L57" s="9"/>
      <c r="M57" s="2">
        <f t="shared" si="3"/>
        <v>79.099999999999994</v>
      </c>
      <c r="N57" s="18"/>
      <c r="O57" s="3" t="s">
        <v>94</v>
      </c>
      <c r="P57" s="3"/>
      <c r="Q57" s="10" t="s">
        <v>35</v>
      </c>
    </row>
    <row r="58" spans="1:17" ht="21" x14ac:dyDescent="0.25">
      <c r="A58" s="3">
        <v>26</v>
      </c>
      <c r="B58" s="3">
        <v>19</v>
      </c>
      <c r="C58" s="4" t="s">
        <v>12</v>
      </c>
      <c r="D58" s="4" t="s">
        <v>13</v>
      </c>
      <c r="E58" s="4" t="s">
        <v>17</v>
      </c>
      <c r="F58" s="2">
        <v>45.5</v>
      </c>
      <c r="G58" s="2">
        <v>7</v>
      </c>
      <c r="H58" s="2"/>
      <c r="I58" s="2">
        <v>9.8000000000000007</v>
      </c>
      <c r="J58" s="2">
        <v>41.65</v>
      </c>
      <c r="K58" s="2">
        <f>F58+G58</f>
        <v>52.5</v>
      </c>
      <c r="L58" s="9"/>
      <c r="M58" s="2">
        <f t="shared" si="3"/>
        <v>62.3</v>
      </c>
      <c r="N58" s="18">
        <v>5000000</v>
      </c>
      <c r="O58" s="3" t="s">
        <v>95</v>
      </c>
      <c r="P58" s="3"/>
      <c r="Q58" s="12" t="s">
        <v>22</v>
      </c>
    </row>
    <row r="59" spans="1:17" ht="21" x14ac:dyDescent="0.25">
      <c r="A59" s="3">
        <v>26</v>
      </c>
      <c r="B59" s="3">
        <v>20</v>
      </c>
      <c r="C59" s="4" t="s">
        <v>12</v>
      </c>
      <c r="D59" s="4" t="s">
        <v>13</v>
      </c>
      <c r="E59" s="4" t="s">
        <v>17</v>
      </c>
      <c r="F59" s="2">
        <v>47.3</v>
      </c>
      <c r="G59" s="2">
        <v>7.1</v>
      </c>
      <c r="H59" s="2"/>
      <c r="I59" s="2">
        <v>9.8000000000000007</v>
      </c>
      <c r="J59" s="2">
        <v>42.9</v>
      </c>
      <c r="K59" s="2">
        <f>F59+G59</f>
        <v>54.4</v>
      </c>
      <c r="L59" s="9"/>
      <c r="M59" s="2">
        <f t="shared" si="3"/>
        <v>64.2</v>
      </c>
      <c r="N59" s="18">
        <v>5000000</v>
      </c>
      <c r="O59" s="3" t="s">
        <v>96</v>
      </c>
      <c r="P59" s="3"/>
      <c r="Q59" s="12" t="s">
        <v>22</v>
      </c>
    </row>
    <row r="60" spans="1:17" ht="21" hidden="1" x14ac:dyDescent="0.25">
      <c r="A60" s="3">
        <v>27</v>
      </c>
      <c r="B60" s="3">
        <v>1</v>
      </c>
      <c r="C60" s="4" t="s">
        <v>11</v>
      </c>
      <c r="D60" s="4" t="s">
        <v>13</v>
      </c>
      <c r="E60" s="4" t="s">
        <v>18</v>
      </c>
      <c r="F60" s="2">
        <v>60.05</v>
      </c>
      <c r="G60" s="2">
        <v>6.45</v>
      </c>
      <c r="H60" s="2"/>
      <c r="I60" s="2">
        <v>20.85</v>
      </c>
      <c r="J60" s="2">
        <v>52.9</v>
      </c>
      <c r="K60" s="2">
        <f>F60+G60</f>
        <v>66.5</v>
      </c>
      <c r="L60" s="9"/>
      <c r="M60" s="2">
        <f t="shared" si="3"/>
        <v>87.35</v>
      </c>
      <c r="N60" s="18"/>
      <c r="O60" s="3" t="s">
        <v>97</v>
      </c>
      <c r="P60" s="3"/>
      <c r="Q60" s="10" t="s">
        <v>35</v>
      </c>
    </row>
    <row r="61" spans="1:17" ht="21" x14ac:dyDescent="0.25">
      <c r="A61" s="3">
        <v>27</v>
      </c>
      <c r="B61" s="3">
        <v>2</v>
      </c>
      <c r="C61" s="4" t="s">
        <v>11</v>
      </c>
      <c r="D61" s="4" t="s">
        <v>13</v>
      </c>
      <c r="E61" s="4" t="s">
        <v>17</v>
      </c>
      <c r="F61" s="2">
        <v>44.2</v>
      </c>
      <c r="G61" s="2">
        <v>6.25</v>
      </c>
      <c r="H61" s="2"/>
      <c r="I61" s="2">
        <v>20.85</v>
      </c>
      <c r="J61" s="2">
        <v>39.1</v>
      </c>
      <c r="K61" s="2">
        <f t="shared" ref="K61:K75" si="5">F61+G61</f>
        <v>50.45</v>
      </c>
      <c r="L61" s="9"/>
      <c r="M61" s="2">
        <f t="shared" si="3"/>
        <v>71.300000000000011</v>
      </c>
      <c r="N61" s="18">
        <v>5000000</v>
      </c>
      <c r="O61" s="3" t="s">
        <v>98</v>
      </c>
      <c r="P61" s="3"/>
      <c r="Q61" s="13" t="s">
        <v>22</v>
      </c>
    </row>
    <row r="62" spans="1:17" ht="30" hidden="1" x14ac:dyDescent="0.25">
      <c r="A62" s="3">
        <v>27</v>
      </c>
      <c r="B62" s="3">
        <v>3</v>
      </c>
      <c r="C62" s="4" t="s">
        <v>15</v>
      </c>
      <c r="D62" s="4" t="s">
        <v>6</v>
      </c>
      <c r="E62" s="4" t="s">
        <v>8</v>
      </c>
      <c r="F62" s="2">
        <v>87.45</v>
      </c>
      <c r="G62" s="2">
        <v>6.15</v>
      </c>
      <c r="H62" s="2">
        <v>4.75</v>
      </c>
      <c r="I62" s="2">
        <v>20.85</v>
      </c>
      <c r="J62" s="2">
        <v>80</v>
      </c>
      <c r="K62" s="2">
        <f t="shared" si="5"/>
        <v>93.600000000000009</v>
      </c>
      <c r="L62" s="9"/>
      <c r="M62" s="2">
        <f t="shared" si="3"/>
        <v>119.20000000000002</v>
      </c>
      <c r="N62" s="18"/>
      <c r="O62" s="3" t="s">
        <v>99</v>
      </c>
      <c r="P62" s="3" t="s">
        <v>29</v>
      </c>
      <c r="Q62" s="10" t="s">
        <v>35</v>
      </c>
    </row>
    <row r="63" spans="1:17" ht="30" hidden="1" x14ac:dyDescent="0.25">
      <c r="A63" s="3">
        <v>27</v>
      </c>
      <c r="B63" s="3">
        <v>4</v>
      </c>
      <c r="C63" s="4" t="s">
        <v>15</v>
      </c>
      <c r="D63" s="4" t="s">
        <v>6</v>
      </c>
      <c r="E63" s="4" t="s">
        <v>8</v>
      </c>
      <c r="F63" s="2">
        <v>80.900000000000006</v>
      </c>
      <c r="G63" s="2">
        <v>5.85</v>
      </c>
      <c r="H63" s="2">
        <v>3.5</v>
      </c>
      <c r="I63" s="2">
        <v>20.9</v>
      </c>
      <c r="J63" s="2">
        <v>75.8</v>
      </c>
      <c r="K63" s="2">
        <f t="shared" si="5"/>
        <v>86.75</v>
      </c>
      <c r="L63" s="9"/>
      <c r="M63" s="2">
        <f t="shared" si="3"/>
        <v>111.15</v>
      </c>
      <c r="N63" s="18"/>
      <c r="O63" s="3" t="s">
        <v>100</v>
      </c>
      <c r="P63" s="3" t="s">
        <v>29</v>
      </c>
      <c r="Q63" s="10" t="s">
        <v>35</v>
      </c>
    </row>
    <row r="64" spans="1:17" ht="30" hidden="1" x14ac:dyDescent="0.25">
      <c r="A64" s="3">
        <v>27</v>
      </c>
      <c r="B64" s="3">
        <v>5</v>
      </c>
      <c r="C64" s="4" t="s">
        <v>15</v>
      </c>
      <c r="D64" s="4" t="s">
        <v>6</v>
      </c>
      <c r="E64" s="4" t="s">
        <v>24</v>
      </c>
      <c r="F64" s="2">
        <v>115.3</v>
      </c>
      <c r="G64" s="2">
        <v>6.05</v>
      </c>
      <c r="H64" s="2">
        <v>3.55</v>
      </c>
      <c r="I64" s="2">
        <v>20.9</v>
      </c>
      <c r="J64" s="2">
        <v>106.05</v>
      </c>
      <c r="K64" s="2">
        <f t="shared" si="5"/>
        <v>121.35</v>
      </c>
      <c r="L64" s="9"/>
      <c r="M64" s="2">
        <f t="shared" si="3"/>
        <v>145.79999999999998</v>
      </c>
      <c r="N64" s="18">
        <v>10500000</v>
      </c>
      <c r="O64" s="3" t="s">
        <v>101</v>
      </c>
      <c r="P64" s="3" t="s">
        <v>29</v>
      </c>
      <c r="Q64" s="12" t="s">
        <v>22</v>
      </c>
    </row>
    <row r="65" spans="1:17" ht="30" hidden="1" x14ac:dyDescent="0.25">
      <c r="A65" s="3">
        <v>27</v>
      </c>
      <c r="B65" s="3">
        <v>6</v>
      </c>
      <c r="C65" s="4" t="s">
        <v>15</v>
      </c>
      <c r="D65" s="4" t="s">
        <v>6</v>
      </c>
      <c r="E65" s="4" t="s">
        <v>24</v>
      </c>
      <c r="F65" s="2">
        <v>115.55</v>
      </c>
      <c r="G65" s="2">
        <v>6.1</v>
      </c>
      <c r="H65" s="2">
        <v>3.55</v>
      </c>
      <c r="I65" s="2">
        <v>20.9</v>
      </c>
      <c r="J65" s="2">
        <v>107.1</v>
      </c>
      <c r="K65" s="2">
        <f t="shared" si="5"/>
        <v>121.64999999999999</v>
      </c>
      <c r="L65" s="9"/>
      <c r="M65" s="2">
        <f t="shared" si="3"/>
        <v>146.1</v>
      </c>
      <c r="N65" s="18">
        <v>10000000</v>
      </c>
      <c r="O65" s="3" t="s">
        <v>102</v>
      </c>
      <c r="P65" s="3" t="s">
        <v>29</v>
      </c>
      <c r="Q65" s="13" t="s">
        <v>22</v>
      </c>
    </row>
    <row r="66" spans="1:17" ht="30" hidden="1" x14ac:dyDescent="0.25">
      <c r="A66" s="3">
        <v>27</v>
      </c>
      <c r="B66" s="3">
        <v>7</v>
      </c>
      <c r="C66" s="4" t="s">
        <v>15</v>
      </c>
      <c r="D66" s="4" t="s">
        <v>6</v>
      </c>
      <c r="E66" s="4" t="s">
        <v>8</v>
      </c>
      <c r="F66" s="2">
        <v>115.05</v>
      </c>
      <c r="G66" s="2">
        <v>4.3499999999999996</v>
      </c>
      <c r="H66" s="2">
        <v>3.8</v>
      </c>
      <c r="I66" s="2">
        <v>20.9</v>
      </c>
      <c r="J66" s="2">
        <v>106.6</v>
      </c>
      <c r="K66" s="2">
        <f t="shared" si="5"/>
        <v>119.39999999999999</v>
      </c>
      <c r="L66" s="9"/>
      <c r="M66" s="2">
        <f t="shared" ref="M66:M97" si="6">+F66+G66+H66+L66+I66</f>
        <v>144.1</v>
      </c>
      <c r="N66" s="18">
        <v>9250000</v>
      </c>
      <c r="O66" s="3" t="s">
        <v>103</v>
      </c>
      <c r="P66" s="3" t="s">
        <v>29</v>
      </c>
      <c r="Q66" s="13" t="s">
        <v>22</v>
      </c>
    </row>
    <row r="67" spans="1:17" ht="21" x14ac:dyDescent="0.25">
      <c r="A67" s="3">
        <v>27</v>
      </c>
      <c r="B67" s="3">
        <v>8</v>
      </c>
      <c r="C67" s="4" t="s">
        <v>11</v>
      </c>
      <c r="D67" s="4" t="s">
        <v>13</v>
      </c>
      <c r="E67" s="4" t="s">
        <v>17</v>
      </c>
      <c r="F67" s="2">
        <v>49.95</v>
      </c>
      <c r="G67" s="2">
        <v>4.3499999999999996</v>
      </c>
      <c r="H67" s="2"/>
      <c r="I67" s="2">
        <v>20.85</v>
      </c>
      <c r="J67" s="2">
        <v>44.5</v>
      </c>
      <c r="K67" s="2">
        <f t="shared" si="5"/>
        <v>54.300000000000004</v>
      </c>
      <c r="L67" s="9"/>
      <c r="M67" s="2">
        <f t="shared" si="6"/>
        <v>75.150000000000006</v>
      </c>
      <c r="N67" s="18"/>
      <c r="O67" s="3" t="s">
        <v>104</v>
      </c>
      <c r="P67" s="3"/>
      <c r="Q67" s="10" t="s">
        <v>35</v>
      </c>
    </row>
    <row r="68" spans="1:17" ht="21" hidden="1" x14ac:dyDescent="0.25">
      <c r="A68" s="3">
        <v>27</v>
      </c>
      <c r="B68" s="3">
        <v>9</v>
      </c>
      <c r="C68" s="4" t="s">
        <v>11</v>
      </c>
      <c r="D68" s="4" t="s">
        <v>13</v>
      </c>
      <c r="E68" s="4" t="s">
        <v>18</v>
      </c>
      <c r="F68" s="2">
        <v>60.75</v>
      </c>
      <c r="G68" s="2">
        <v>6.65</v>
      </c>
      <c r="H68" s="2"/>
      <c r="I68" s="2">
        <v>20.85</v>
      </c>
      <c r="J68" s="2">
        <v>53.45</v>
      </c>
      <c r="K68" s="2">
        <f t="shared" si="5"/>
        <v>67.400000000000006</v>
      </c>
      <c r="L68" s="9"/>
      <c r="M68" s="2">
        <f t="shared" si="6"/>
        <v>88.25</v>
      </c>
      <c r="N68" s="18"/>
      <c r="O68" s="3" t="s">
        <v>105</v>
      </c>
      <c r="P68" s="3"/>
      <c r="Q68" s="10" t="s">
        <v>35</v>
      </c>
    </row>
    <row r="69" spans="1:17" ht="21" hidden="1" x14ac:dyDescent="0.25">
      <c r="A69" s="3">
        <v>27</v>
      </c>
      <c r="B69" s="3">
        <v>10</v>
      </c>
      <c r="C69" s="4" t="s">
        <v>12</v>
      </c>
      <c r="D69" s="4" t="s">
        <v>13</v>
      </c>
      <c r="E69" s="4" t="s">
        <v>18</v>
      </c>
      <c r="F69" s="2">
        <v>60.1</v>
      </c>
      <c r="G69" s="2">
        <v>6.45</v>
      </c>
      <c r="H69" s="2"/>
      <c r="I69" s="2">
        <v>20.85</v>
      </c>
      <c r="J69" s="2">
        <v>52.95</v>
      </c>
      <c r="K69" s="2">
        <f t="shared" si="5"/>
        <v>66.55</v>
      </c>
      <c r="L69" s="9"/>
      <c r="M69" s="2">
        <f t="shared" si="6"/>
        <v>87.4</v>
      </c>
      <c r="N69" s="18"/>
      <c r="O69" s="3" t="s">
        <v>106</v>
      </c>
      <c r="P69" s="3"/>
      <c r="Q69" s="10" t="s">
        <v>35</v>
      </c>
    </row>
    <row r="70" spans="1:17" ht="21" x14ac:dyDescent="0.25">
      <c r="A70" s="3">
        <v>27</v>
      </c>
      <c r="B70" s="3">
        <v>11</v>
      </c>
      <c r="C70" s="4" t="s">
        <v>12</v>
      </c>
      <c r="D70" s="4" t="s">
        <v>13</v>
      </c>
      <c r="E70" s="4" t="s">
        <v>17</v>
      </c>
      <c r="F70" s="2">
        <v>44.2</v>
      </c>
      <c r="G70" s="2">
        <v>6.25</v>
      </c>
      <c r="H70" s="2"/>
      <c r="I70" s="2">
        <v>20.85</v>
      </c>
      <c r="J70" s="2">
        <v>39.1</v>
      </c>
      <c r="K70" s="2">
        <f t="shared" si="5"/>
        <v>50.45</v>
      </c>
      <c r="L70" s="9"/>
      <c r="M70" s="2">
        <f t="shared" si="6"/>
        <v>71.300000000000011</v>
      </c>
      <c r="N70" s="18"/>
      <c r="O70" s="3" t="s">
        <v>107</v>
      </c>
      <c r="P70" s="3"/>
      <c r="Q70" s="10" t="s">
        <v>35</v>
      </c>
    </row>
    <row r="71" spans="1:17" ht="21" hidden="1" x14ac:dyDescent="0.25">
      <c r="A71" s="3">
        <v>27</v>
      </c>
      <c r="B71" s="3">
        <v>12</v>
      </c>
      <c r="C71" s="4" t="s">
        <v>12</v>
      </c>
      <c r="D71" s="4" t="s">
        <v>13</v>
      </c>
      <c r="E71" s="4" t="s">
        <v>18</v>
      </c>
      <c r="F71" s="2">
        <v>60.75</v>
      </c>
      <c r="G71" s="2">
        <v>6.2</v>
      </c>
      <c r="H71" s="2"/>
      <c r="I71" s="2">
        <v>20.85</v>
      </c>
      <c r="J71" s="2">
        <v>54.1</v>
      </c>
      <c r="K71" s="2">
        <f t="shared" si="5"/>
        <v>66.95</v>
      </c>
      <c r="L71" s="9"/>
      <c r="M71" s="2">
        <f t="shared" si="6"/>
        <v>87.800000000000011</v>
      </c>
      <c r="N71" s="18"/>
      <c r="O71" s="3" t="s">
        <v>108</v>
      </c>
      <c r="P71" s="3"/>
      <c r="Q71" s="10" t="s">
        <v>35</v>
      </c>
    </row>
    <row r="72" spans="1:17" ht="21" x14ac:dyDescent="0.25">
      <c r="A72" s="3">
        <v>27</v>
      </c>
      <c r="B72" s="3">
        <v>13</v>
      </c>
      <c r="C72" s="4" t="s">
        <v>12</v>
      </c>
      <c r="D72" s="4" t="s">
        <v>13</v>
      </c>
      <c r="E72" s="4" t="s">
        <v>17</v>
      </c>
      <c r="F72" s="2">
        <v>44.6</v>
      </c>
      <c r="G72" s="2">
        <v>5.9</v>
      </c>
      <c r="H72" s="2"/>
      <c r="I72" s="2">
        <v>20.85</v>
      </c>
      <c r="J72" s="2">
        <v>39.5</v>
      </c>
      <c r="K72" s="2">
        <f t="shared" si="5"/>
        <v>50.5</v>
      </c>
      <c r="L72" s="9"/>
      <c r="M72" s="2">
        <f t="shared" si="6"/>
        <v>71.349999999999994</v>
      </c>
      <c r="N72" s="18">
        <v>5750000</v>
      </c>
      <c r="O72" s="3" t="s">
        <v>109</v>
      </c>
      <c r="P72" s="16" t="s">
        <v>37</v>
      </c>
      <c r="Q72" s="10" t="s">
        <v>35</v>
      </c>
    </row>
    <row r="73" spans="1:17" ht="21" hidden="1" x14ac:dyDescent="0.25">
      <c r="A73" s="3">
        <v>27</v>
      </c>
      <c r="B73" s="3">
        <v>14</v>
      </c>
      <c r="C73" s="4" t="s">
        <v>12</v>
      </c>
      <c r="D73" s="4" t="s">
        <v>13</v>
      </c>
      <c r="E73" s="4" t="s">
        <v>18</v>
      </c>
      <c r="F73" s="2">
        <v>62.95</v>
      </c>
      <c r="G73" s="2">
        <v>6.85</v>
      </c>
      <c r="H73" s="2"/>
      <c r="I73" s="2">
        <v>20.85</v>
      </c>
      <c r="J73" s="2">
        <v>55.85</v>
      </c>
      <c r="K73" s="2">
        <f t="shared" si="5"/>
        <v>69.8</v>
      </c>
      <c r="L73" s="9"/>
      <c r="M73" s="2">
        <f t="shared" si="6"/>
        <v>90.65</v>
      </c>
      <c r="N73" s="18"/>
      <c r="O73" s="3" t="s">
        <v>110</v>
      </c>
      <c r="P73" s="3"/>
      <c r="Q73" s="10" t="s">
        <v>35</v>
      </c>
    </row>
    <row r="74" spans="1:17" ht="21" hidden="1" x14ac:dyDescent="0.25">
      <c r="A74" s="3">
        <v>27</v>
      </c>
      <c r="B74" s="3">
        <v>15</v>
      </c>
      <c r="C74" s="4" t="s">
        <v>12</v>
      </c>
      <c r="D74" s="4" t="s">
        <v>13</v>
      </c>
      <c r="E74" s="4" t="s">
        <v>18</v>
      </c>
      <c r="F74" s="2">
        <v>63.1</v>
      </c>
      <c r="G74" s="2">
        <v>6.85</v>
      </c>
      <c r="H74" s="2"/>
      <c r="I74" s="2">
        <v>20.85</v>
      </c>
      <c r="J74" s="2">
        <v>56.35</v>
      </c>
      <c r="K74" s="2">
        <f t="shared" si="5"/>
        <v>69.95</v>
      </c>
      <c r="L74" s="9"/>
      <c r="M74" s="2">
        <f t="shared" si="6"/>
        <v>90.800000000000011</v>
      </c>
      <c r="N74" s="18"/>
      <c r="O74" s="3" t="s">
        <v>111</v>
      </c>
      <c r="P74" s="3"/>
      <c r="Q74" s="10" t="s">
        <v>35</v>
      </c>
    </row>
    <row r="75" spans="1:17" ht="21" hidden="1" x14ac:dyDescent="0.25">
      <c r="A75" s="3">
        <v>27</v>
      </c>
      <c r="B75" s="3">
        <v>16</v>
      </c>
      <c r="C75" s="4" t="s">
        <v>12</v>
      </c>
      <c r="D75" s="4" t="s">
        <v>13</v>
      </c>
      <c r="E75" s="4" t="s">
        <v>18</v>
      </c>
      <c r="F75" s="2">
        <v>63.2</v>
      </c>
      <c r="G75" s="2">
        <v>4.3499999999999996</v>
      </c>
      <c r="H75" s="2"/>
      <c r="I75" s="2">
        <v>20.85</v>
      </c>
      <c r="J75" s="2">
        <v>56.95</v>
      </c>
      <c r="K75" s="2">
        <f t="shared" si="5"/>
        <v>67.55</v>
      </c>
      <c r="L75" s="9"/>
      <c r="M75" s="2">
        <f t="shared" si="6"/>
        <v>88.4</v>
      </c>
      <c r="N75" s="18"/>
      <c r="O75" s="3" t="s">
        <v>112</v>
      </c>
      <c r="P75" s="3"/>
      <c r="Q75" s="10" t="s">
        <v>35</v>
      </c>
    </row>
    <row r="76" spans="1:17" ht="21" hidden="1" x14ac:dyDescent="0.25">
      <c r="A76" s="3">
        <v>27</v>
      </c>
      <c r="B76" s="3">
        <v>17</v>
      </c>
      <c r="C76" s="4" t="s">
        <v>12</v>
      </c>
      <c r="D76" s="4" t="s">
        <v>13</v>
      </c>
      <c r="E76" s="4" t="s">
        <v>18</v>
      </c>
      <c r="F76" s="2">
        <v>63.2</v>
      </c>
      <c r="G76" s="2">
        <v>4.3499999999999996</v>
      </c>
      <c r="H76" s="2"/>
      <c r="I76" s="2">
        <v>20.85</v>
      </c>
      <c r="J76" s="2">
        <v>56.95</v>
      </c>
      <c r="K76" s="2">
        <f>F76+G76</f>
        <v>67.55</v>
      </c>
      <c r="L76" s="9"/>
      <c r="M76" s="2">
        <f t="shared" si="6"/>
        <v>88.4</v>
      </c>
      <c r="N76" s="18"/>
      <c r="O76" s="3" t="s">
        <v>113</v>
      </c>
      <c r="P76" s="3"/>
      <c r="Q76" s="10" t="s">
        <v>35</v>
      </c>
    </row>
    <row r="77" spans="1:17" ht="21" hidden="1" x14ac:dyDescent="0.25">
      <c r="A77" s="3">
        <v>27</v>
      </c>
      <c r="B77" s="3">
        <v>18</v>
      </c>
      <c r="C77" s="4" t="s">
        <v>12</v>
      </c>
      <c r="D77" s="4" t="s">
        <v>13</v>
      </c>
      <c r="E77" s="4" t="s">
        <v>18</v>
      </c>
      <c r="F77" s="2">
        <v>59.8</v>
      </c>
      <c r="G77" s="2">
        <v>6.85</v>
      </c>
      <c r="H77" s="2"/>
      <c r="I77" s="2">
        <v>20.85</v>
      </c>
      <c r="J77" s="2">
        <v>53.05</v>
      </c>
      <c r="K77" s="2">
        <f>F77+G77</f>
        <v>66.649999999999991</v>
      </c>
      <c r="L77" s="9"/>
      <c r="M77" s="2">
        <f t="shared" si="6"/>
        <v>87.5</v>
      </c>
      <c r="N77" s="18"/>
      <c r="O77" s="3" t="s">
        <v>114</v>
      </c>
      <c r="P77" s="3"/>
      <c r="Q77" s="10" t="s">
        <v>35</v>
      </c>
    </row>
    <row r="78" spans="1:17" ht="21" x14ac:dyDescent="0.25">
      <c r="A78" s="3">
        <v>28</v>
      </c>
      <c r="B78" s="3">
        <v>1</v>
      </c>
      <c r="C78" s="4" t="s">
        <v>11</v>
      </c>
      <c r="D78" s="4" t="s">
        <v>13</v>
      </c>
      <c r="E78" s="4" t="s">
        <v>17</v>
      </c>
      <c r="F78" s="2">
        <v>47.8</v>
      </c>
      <c r="G78" s="2">
        <v>7.2</v>
      </c>
      <c r="H78" s="2"/>
      <c r="I78" s="2">
        <v>18.55</v>
      </c>
      <c r="J78" s="2">
        <v>42.2</v>
      </c>
      <c r="K78" s="2">
        <f t="shared" ref="K78:K94" si="7">F78+G78</f>
        <v>55</v>
      </c>
      <c r="L78" s="9"/>
      <c r="M78" s="2">
        <f t="shared" si="6"/>
        <v>73.55</v>
      </c>
      <c r="N78" s="18"/>
      <c r="O78" s="3" t="s">
        <v>115</v>
      </c>
      <c r="P78" s="3"/>
      <c r="Q78" s="10" t="s">
        <v>35</v>
      </c>
    </row>
    <row r="79" spans="1:17" ht="21" x14ac:dyDescent="0.25">
      <c r="A79" s="3">
        <v>28</v>
      </c>
      <c r="B79" s="3">
        <v>2</v>
      </c>
      <c r="C79" s="4" t="s">
        <v>11</v>
      </c>
      <c r="D79" s="4" t="s">
        <v>13</v>
      </c>
      <c r="E79" s="4" t="s">
        <v>17</v>
      </c>
      <c r="F79" s="2">
        <v>46.7</v>
      </c>
      <c r="G79" s="2">
        <v>7.2</v>
      </c>
      <c r="H79" s="2"/>
      <c r="I79" s="2">
        <v>18.55</v>
      </c>
      <c r="J79" s="2">
        <v>41.45</v>
      </c>
      <c r="K79" s="2">
        <f t="shared" si="7"/>
        <v>53.900000000000006</v>
      </c>
      <c r="L79" s="9"/>
      <c r="M79" s="2">
        <f t="shared" si="6"/>
        <v>72.45</v>
      </c>
      <c r="N79" s="18"/>
      <c r="O79" s="3" t="s">
        <v>116</v>
      </c>
      <c r="P79" s="3"/>
      <c r="Q79" s="10" t="s">
        <v>35</v>
      </c>
    </row>
    <row r="80" spans="1:17" ht="30" hidden="1" x14ac:dyDescent="0.25">
      <c r="A80" s="3">
        <v>28</v>
      </c>
      <c r="B80" s="3">
        <v>3</v>
      </c>
      <c r="C80" s="4" t="s">
        <v>15</v>
      </c>
      <c r="D80" s="4" t="s">
        <v>6</v>
      </c>
      <c r="E80" s="4" t="s">
        <v>8</v>
      </c>
      <c r="F80" s="2">
        <v>98.7</v>
      </c>
      <c r="G80" s="2">
        <v>6.35</v>
      </c>
      <c r="H80" s="2">
        <v>5.15</v>
      </c>
      <c r="I80" s="2">
        <v>18.649999999999999</v>
      </c>
      <c r="J80" s="2">
        <v>91.9</v>
      </c>
      <c r="K80" s="2">
        <f t="shared" si="7"/>
        <v>105.05</v>
      </c>
      <c r="L80" s="9"/>
      <c r="M80" s="2">
        <f t="shared" si="6"/>
        <v>128.85</v>
      </c>
      <c r="N80" s="18"/>
      <c r="O80" s="3" t="s">
        <v>117</v>
      </c>
      <c r="P80" s="3" t="s">
        <v>29</v>
      </c>
      <c r="Q80" s="10" t="s">
        <v>35</v>
      </c>
    </row>
    <row r="81" spans="1:17" ht="30" hidden="1" x14ac:dyDescent="0.25">
      <c r="A81" s="3">
        <v>28</v>
      </c>
      <c r="B81" s="3">
        <v>4</v>
      </c>
      <c r="C81" s="4" t="s">
        <v>15</v>
      </c>
      <c r="D81" s="4" t="s">
        <v>6</v>
      </c>
      <c r="E81" s="4" t="s">
        <v>8</v>
      </c>
      <c r="F81" s="2">
        <v>90.9</v>
      </c>
      <c r="G81" s="2">
        <v>6.6</v>
      </c>
      <c r="H81" s="2">
        <v>3.75</v>
      </c>
      <c r="I81" s="2">
        <v>18.649999999999999</v>
      </c>
      <c r="J81" s="2">
        <v>84.65</v>
      </c>
      <c r="K81" s="2">
        <f t="shared" si="7"/>
        <v>97.5</v>
      </c>
      <c r="L81" s="9"/>
      <c r="M81" s="2">
        <f t="shared" si="6"/>
        <v>119.9</v>
      </c>
      <c r="N81" s="18"/>
      <c r="O81" s="3" t="s">
        <v>118</v>
      </c>
      <c r="P81" s="3" t="s">
        <v>29</v>
      </c>
      <c r="Q81" s="10" t="s">
        <v>35</v>
      </c>
    </row>
    <row r="82" spans="1:17" ht="30" hidden="1" x14ac:dyDescent="0.25">
      <c r="A82" s="3">
        <v>28</v>
      </c>
      <c r="B82" s="3">
        <v>5</v>
      </c>
      <c r="C82" s="4" t="s">
        <v>15</v>
      </c>
      <c r="D82" s="4" t="s">
        <v>6</v>
      </c>
      <c r="E82" s="4" t="s">
        <v>8</v>
      </c>
      <c r="F82" s="2">
        <v>92.7</v>
      </c>
      <c r="G82" s="2">
        <v>6.65</v>
      </c>
      <c r="H82" s="2">
        <v>3.75</v>
      </c>
      <c r="I82" s="2">
        <v>18.649999999999999</v>
      </c>
      <c r="J82" s="2">
        <v>85.7</v>
      </c>
      <c r="K82" s="2">
        <f t="shared" si="7"/>
        <v>99.350000000000009</v>
      </c>
      <c r="L82" s="9"/>
      <c r="M82" s="2">
        <f t="shared" si="6"/>
        <v>121.75</v>
      </c>
      <c r="N82" s="18"/>
      <c r="O82" s="3" t="s">
        <v>119</v>
      </c>
      <c r="P82" s="3" t="s">
        <v>29</v>
      </c>
      <c r="Q82" s="10" t="s">
        <v>35</v>
      </c>
    </row>
    <row r="83" spans="1:17" ht="30" hidden="1" x14ac:dyDescent="0.25">
      <c r="A83" s="3">
        <v>28</v>
      </c>
      <c r="B83" s="3">
        <v>6</v>
      </c>
      <c r="C83" s="4" t="s">
        <v>15</v>
      </c>
      <c r="D83" s="4" t="s">
        <v>6</v>
      </c>
      <c r="E83" s="4" t="s">
        <v>8</v>
      </c>
      <c r="F83" s="2">
        <v>92.3</v>
      </c>
      <c r="G83" s="2">
        <v>6.65</v>
      </c>
      <c r="H83" s="2">
        <v>3.75</v>
      </c>
      <c r="I83" s="2">
        <v>18.649999999999999</v>
      </c>
      <c r="J83" s="2">
        <v>86.3</v>
      </c>
      <c r="K83" s="2">
        <f t="shared" si="7"/>
        <v>98.95</v>
      </c>
      <c r="L83" s="9"/>
      <c r="M83" s="2">
        <f t="shared" si="6"/>
        <v>121.35</v>
      </c>
      <c r="N83" s="18"/>
      <c r="O83" s="3" t="s">
        <v>120</v>
      </c>
      <c r="P83" s="3" t="s">
        <v>29</v>
      </c>
      <c r="Q83" s="10" t="s">
        <v>35</v>
      </c>
    </row>
    <row r="84" spans="1:17" ht="30" hidden="1" x14ac:dyDescent="0.25">
      <c r="A84" s="3">
        <v>28</v>
      </c>
      <c r="B84" s="3">
        <v>7</v>
      </c>
      <c r="C84" s="4" t="s">
        <v>15</v>
      </c>
      <c r="D84" s="4" t="s">
        <v>6</v>
      </c>
      <c r="E84" s="4" t="s">
        <v>8</v>
      </c>
      <c r="F84" s="2">
        <v>91.6</v>
      </c>
      <c r="G84" s="2">
        <v>6.6</v>
      </c>
      <c r="H84" s="2">
        <v>3.75</v>
      </c>
      <c r="I84" s="2">
        <v>18.649999999999999</v>
      </c>
      <c r="J84" s="2">
        <v>85.75</v>
      </c>
      <c r="K84" s="2">
        <f t="shared" si="7"/>
        <v>98.199999999999989</v>
      </c>
      <c r="L84" s="9"/>
      <c r="M84" s="2">
        <f t="shared" si="6"/>
        <v>120.6</v>
      </c>
      <c r="N84" s="18"/>
      <c r="O84" s="3" t="s">
        <v>121</v>
      </c>
      <c r="P84" s="3" t="s">
        <v>29</v>
      </c>
      <c r="Q84" s="10" t="s">
        <v>35</v>
      </c>
    </row>
    <row r="85" spans="1:17" ht="30" hidden="1" x14ac:dyDescent="0.25">
      <c r="A85" s="3">
        <v>28</v>
      </c>
      <c r="B85" s="3">
        <v>8</v>
      </c>
      <c r="C85" s="4" t="s">
        <v>15</v>
      </c>
      <c r="D85" s="4" t="s">
        <v>6</v>
      </c>
      <c r="E85" s="4" t="s">
        <v>8</v>
      </c>
      <c r="F85" s="2">
        <v>98.7</v>
      </c>
      <c r="G85" s="2">
        <v>6.35</v>
      </c>
      <c r="H85" s="2">
        <v>5.15</v>
      </c>
      <c r="I85" s="2">
        <v>18.649999999999999</v>
      </c>
      <c r="J85" s="2">
        <v>90.6</v>
      </c>
      <c r="K85" s="2">
        <f t="shared" si="7"/>
        <v>105.05</v>
      </c>
      <c r="L85" s="9"/>
      <c r="M85" s="2">
        <f t="shared" si="6"/>
        <v>128.85</v>
      </c>
      <c r="N85" s="18"/>
      <c r="O85" s="3" t="s">
        <v>122</v>
      </c>
      <c r="P85" s="3" t="s">
        <v>29</v>
      </c>
      <c r="Q85" s="10" t="s">
        <v>35</v>
      </c>
    </row>
    <row r="86" spans="1:17" ht="21" x14ac:dyDescent="0.25">
      <c r="A86" s="3">
        <v>28</v>
      </c>
      <c r="B86" s="3">
        <v>9</v>
      </c>
      <c r="C86" s="4" t="s">
        <v>11</v>
      </c>
      <c r="D86" s="4" t="s">
        <v>13</v>
      </c>
      <c r="E86" s="4" t="s">
        <v>17</v>
      </c>
      <c r="F86" s="2">
        <v>47.6</v>
      </c>
      <c r="G86" s="2">
        <v>7.2</v>
      </c>
      <c r="H86" s="2"/>
      <c r="I86" s="2">
        <v>18.55</v>
      </c>
      <c r="J86" s="2">
        <v>42.4</v>
      </c>
      <c r="K86" s="2">
        <f t="shared" si="7"/>
        <v>54.800000000000004</v>
      </c>
      <c r="L86" s="9"/>
      <c r="M86" s="2">
        <f t="shared" si="6"/>
        <v>73.350000000000009</v>
      </c>
      <c r="N86" s="18"/>
      <c r="O86" s="3" t="s">
        <v>123</v>
      </c>
      <c r="P86" s="3"/>
      <c r="Q86" s="10" t="s">
        <v>35</v>
      </c>
    </row>
    <row r="87" spans="1:17" ht="21" x14ac:dyDescent="0.25">
      <c r="A87" s="3">
        <v>28</v>
      </c>
      <c r="B87" s="3">
        <v>10</v>
      </c>
      <c r="C87" s="4" t="s">
        <v>11</v>
      </c>
      <c r="D87" s="4" t="s">
        <v>13</v>
      </c>
      <c r="E87" s="4" t="s">
        <v>17</v>
      </c>
      <c r="F87" s="2">
        <v>41.3</v>
      </c>
      <c r="G87" s="2">
        <v>4.0999999999999996</v>
      </c>
      <c r="H87" s="2"/>
      <c r="I87" s="2">
        <v>18.55</v>
      </c>
      <c r="J87" s="2">
        <v>36</v>
      </c>
      <c r="K87" s="2">
        <f t="shared" si="7"/>
        <v>45.4</v>
      </c>
      <c r="L87" s="9"/>
      <c r="M87" s="2">
        <f t="shared" si="6"/>
        <v>63.95</v>
      </c>
      <c r="N87" s="18">
        <v>5500000</v>
      </c>
      <c r="O87" s="3" t="s">
        <v>124</v>
      </c>
      <c r="P87" s="16" t="s">
        <v>29</v>
      </c>
      <c r="Q87" s="12" t="s">
        <v>22</v>
      </c>
    </row>
    <row r="88" spans="1:17" ht="21" x14ac:dyDescent="0.25">
      <c r="A88" s="3">
        <v>28</v>
      </c>
      <c r="B88" s="3">
        <v>11</v>
      </c>
      <c r="C88" s="4" t="s">
        <v>12</v>
      </c>
      <c r="D88" s="4" t="s">
        <v>13</v>
      </c>
      <c r="E88" s="4" t="s">
        <v>17</v>
      </c>
      <c r="F88" s="2">
        <v>49.25</v>
      </c>
      <c r="G88" s="2">
        <v>6.9</v>
      </c>
      <c r="H88" s="2"/>
      <c r="I88" s="2">
        <v>18.55</v>
      </c>
      <c r="J88" s="2">
        <v>43.45</v>
      </c>
      <c r="K88" s="2">
        <f t="shared" si="7"/>
        <v>56.15</v>
      </c>
      <c r="L88" s="9"/>
      <c r="M88" s="2">
        <f t="shared" si="6"/>
        <v>74.7</v>
      </c>
      <c r="N88" s="18"/>
      <c r="O88" s="3" t="s">
        <v>125</v>
      </c>
      <c r="P88" s="3"/>
      <c r="Q88" s="10" t="s">
        <v>35</v>
      </c>
    </row>
    <row r="89" spans="1:17" ht="21" x14ac:dyDescent="0.25">
      <c r="A89" s="3">
        <v>28</v>
      </c>
      <c r="B89" s="3">
        <v>12</v>
      </c>
      <c r="C89" s="4" t="s">
        <v>12</v>
      </c>
      <c r="D89" s="4" t="s">
        <v>13</v>
      </c>
      <c r="E89" s="4" t="s">
        <v>17</v>
      </c>
      <c r="F89" s="2">
        <v>46.65</v>
      </c>
      <c r="G89" s="2">
        <v>7.2</v>
      </c>
      <c r="H89" s="2"/>
      <c r="I89" s="2">
        <v>18.55</v>
      </c>
      <c r="J89" s="2">
        <v>41.45</v>
      </c>
      <c r="K89" s="2">
        <f t="shared" si="7"/>
        <v>53.85</v>
      </c>
      <c r="L89" s="9"/>
      <c r="M89" s="2">
        <f t="shared" si="6"/>
        <v>72.400000000000006</v>
      </c>
      <c r="N89" s="18">
        <v>5000000</v>
      </c>
      <c r="O89" s="3" t="s">
        <v>126</v>
      </c>
      <c r="P89" s="3"/>
      <c r="Q89" s="13" t="s">
        <v>22</v>
      </c>
    </row>
    <row r="90" spans="1:17" ht="21" hidden="1" x14ac:dyDescent="0.25">
      <c r="A90" s="3">
        <v>28</v>
      </c>
      <c r="B90" s="3">
        <v>13</v>
      </c>
      <c r="C90" s="4" t="s">
        <v>12</v>
      </c>
      <c r="D90" s="4" t="s">
        <v>13</v>
      </c>
      <c r="E90" s="4" t="s">
        <v>18</v>
      </c>
      <c r="F90" s="2">
        <v>63.75</v>
      </c>
      <c r="G90" s="2">
        <v>7.2</v>
      </c>
      <c r="H90" s="2"/>
      <c r="I90" s="2">
        <v>18.55</v>
      </c>
      <c r="J90" s="2">
        <v>56.95</v>
      </c>
      <c r="K90" s="2">
        <f t="shared" si="7"/>
        <v>70.95</v>
      </c>
      <c r="L90" s="9"/>
      <c r="M90" s="2">
        <f t="shared" si="6"/>
        <v>89.5</v>
      </c>
      <c r="N90" s="18"/>
      <c r="O90" s="3" t="s">
        <v>127</v>
      </c>
      <c r="P90" s="3"/>
      <c r="Q90" s="10" t="s">
        <v>35</v>
      </c>
    </row>
    <row r="91" spans="1:17" ht="21" x14ac:dyDescent="0.25">
      <c r="A91" s="3">
        <v>28</v>
      </c>
      <c r="B91" s="3">
        <v>14</v>
      </c>
      <c r="C91" s="4" t="s">
        <v>12</v>
      </c>
      <c r="D91" s="4" t="s">
        <v>13</v>
      </c>
      <c r="E91" s="4" t="s">
        <v>17</v>
      </c>
      <c r="F91" s="2">
        <v>49.15</v>
      </c>
      <c r="G91" s="2">
        <v>7.5</v>
      </c>
      <c r="H91" s="2"/>
      <c r="I91" s="2">
        <v>18.55</v>
      </c>
      <c r="J91" s="2">
        <v>43.75</v>
      </c>
      <c r="K91" s="2">
        <f t="shared" si="7"/>
        <v>56.65</v>
      </c>
      <c r="L91" s="9"/>
      <c r="M91" s="2">
        <f t="shared" si="6"/>
        <v>75.2</v>
      </c>
      <c r="N91" s="18"/>
      <c r="O91" s="3" t="s">
        <v>128</v>
      </c>
      <c r="P91" s="3"/>
      <c r="Q91" s="10" t="s">
        <v>35</v>
      </c>
    </row>
    <row r="92" spans="1:17" ht="21" x14ac:dyDescent="0.25">
      <c r="A92" s="3">
        <v>28</v>
      </c>
      <c r="B92" s="3">
        <v>15</v>
      </c>
      <c r="C92" s="4" t="s">
        <v>12</v>
      </c>
      <c r="D92" s="4" t="s">
        <v>13</v>
      </c>
      <c r="E92" s="4" t="s">
        <v>17</v>
      </c>
      <c r="F92" s="2">
        <v>49.65</v>
      </c>
      <c r="G92" s="2">
        <v>7.8</v>
      </c>
      <c r="H92" s="2"/>
      <c r="I92" s="2">
        <v>18.55</v>
      </c>
      <c r="J92" s="2">
        <v>44.15</v>
      </c>
      <c r="K92" s="2">
        <f t="shared" si="7"/>
        <v>57.449999999999996</v>
      </c>
      <c r="L92" s="9"/>
      <c r="M92" s="2">
        <f t="shared" si="6"/>
        <v>76</v>
      </c>
      <c r="N92" s="18"/>
      <c r="O92" s="3" t="s">
        <v>129</v>
      </c>
      <c r="P92" s="3"/>
      <c r="Q92" s="10" t="s">
        <v>35</v>
      </c>
    </row>
    <row r="93" spans="1:17" ht="21" x14ac:dyDescent="0.25">
      <c r="A93" s="3">
        <v>28</v>
      </c>
      <c r="B93" s="3">
        <v>16</v>
      </c>
      <c r="C93" s="4" t="s">
        <v>12</v>
      </c>
      <c r="D93" s="4" t="s">
        <v>13</v>
      </c>
      <c r="E93" s="4" t="s">
        <v>17</v>
      </c>
      <c r="F93" s="2">
        <v>49.5</v>
      </c>
      <c r="G93" s="2">
        <v>7.8</v>
      </c>
      <c r="H93" s="2"/>
      <c r="I93" s="2">
        <v>18.55</v>
      </c>
      <c r="J93" s="2">
        <v>44.5</v>
      </c>
      <c r="K93" s="2">
        <f t="shared" si="7"/>
        <v>57.3</v>
      </c>
      <c r="L93" s="9"/>
      <c r="M93" s="2">
        <f t="shared" si="6"/>
        <v>75.849999999999994</v>
      </c>
      <c r="N93" s="18"/>
      <c r="O93" s="3" t="s">
        <v>130</v>
      </c>
      <c r="P93" s="3"/>
      <c r="Q93" s="10" t="s">
        <v>35</v>
      </c>
    </row>
    <row r="94" spans="1:17" ht="21" x14ac:dyDescent="0.25">
      <c r="A94" s="3">
        <v>28</v>
      </c>
      <c r="B94" s="3">
        <v>17</v>
      </c>
      <c r="C94" s="4" t="s">
        <v>12</v>
      </c>
      <c r="D94" s="4" t="s">
        <v>13</v>
      </c>
      <c r="E94" s="4" t="s">
        <v>17</v>
      </c>
      <c r="F94" s="2">
        <v>49.3</v>
      </c>
      <c r="G94" s="2">
        <v>7.5</v>
      </c>
      <c r="H94" s="2"/>
      <c r="I94" s="2">
        <v>18.55</v>
      </c>
      <c r="J94" s="2">
        <v>44.45</v>
      </c>
      <c r="K94" s="2">
        <f t="shared" si="7"/>
        <v>56.8</v>
      </c>
      <c r="L94" s="9"/>
      <c r="M94" s="2">
        <f t="shared" si="6"/>
        <v>75.349999999999994</v>
      </c>
      <c r="N94" s="18"/>
      <c r="O94" s="3" t="s">
        <v>131</v>
      </c>
      <c r="P94" s="3"/>
      <c r="Q94" s="10" t="s">
        <v>35</v>
      </c>
    </row>
    <row r="95" spans="1:17" ht="21" hidden="1" x14ac:dyDescent="0.25">
      <c r="A95" s="3">
        <v>28</v>
      </c>
      <c r="B95" s="3">
        <v>18</v>
      </c>
      <c r="C95" s="4" t="s">
        <v>12</v>
      </c>
      <c r="D95" s="4" t="s">
        <v>13</v>
      </c>
      <c r="E95" s="4" t="s">
        <v>18</v>
      </c>
      <c r="F95" s="2">
        <v>63.75</v>
      </c>
      <c r="G95" s="2">
        <v>7.2</v>
      </c>
      <c r="H95" s="2"/>
      <c r="I95" s="2">
        <v>18.55</v>
      </c>
      <c r="J95" s="2">
        <v>56.95</v>
      </c>
      <c r="K95" s="2">
        <f>F95+G95</f>
        <v>70.95</v>
      </c>
      <c r="L95" s="9"/>
      <c r="M95" s="2">
        <f t="shared" si="6"/>
        <v>89.5</v>
      </c>
      <c r="N95" s="18"/>
      <c r="O95" s="3" t="s">
        <v>132</v>
      </c>
      <c r="P95" s="3"/>
      <c r="Q95" s="10" t="s">
        <v>35</v>
      </c>
    </row>
    <row r="96" spans="1:17" ht="21" x14ac:dyDescent="0.25">
      <c r="A96" s="3">
        <v>28</v>
      </c>
      <c r="B96" s="3">
        <v>19</v>
      </c>
      <c r="C96" s="4" t="s">
        <v>12</v>
      </c>
      <c r="D96" s="4" t="s">
        <v>13</v>
      </c>
      <c r="E96" s="4" t="s">
        <v>17</v>
      </c>
      <c r="F96" s="2">
        <v>47</v>
      </c>
      <c r="G96" s="2">
        <v>7</v>
      </c>
      <c r="H96" s="2"/>
      <c r="I96" s="2">
        <v>18.55</v>
      </c>
      <c r="J96" s="2">
        <v>42.15</v>
      </c>
      <c r="K96" s="2">
        <f>F96+G96</f>
        <v>54</v>
      </c>
      <c r="L96" s="9"/>
      <c r="M96" s="2">
        <f t="shared" si="6"/>
        <v>72.55</v>
      </c>
      <c r="N96" s="18"/>
      <c r="O96" s="3" t="s">
        <v>133</v>
      </c>
      <c r="P96" s="3"/>
      <c r="Q96" s="10" t="s">
        <v>35</v>
      </c>
    </row>
    <row r="97" spans="1:17" ht="21" x14ac:dyDescent="0.25">
      <c r="A97" s="3">
        <v>28</v>
      </c>
      <c r="B97" s="3">
        <v>20</v>
      </c>
      <c r="C97" s="4" t="s">
        <v>12</v>
      </c>
      <c r="D97" s="4" t="s">
        <v>13</v>
      </c>
      <c r="E97" s="4" t="s">
        <v>17</v>
      </c>
      <c r="F97" s="2">
        <v>48.9</v>
      </c>
      <c r="G97" s="2">
        <v>6.9</v>
      </c>
      <c r="H97" s="2"/>
      <c r="I97" s="2">
        <v>18.55</v>
      </c>
      <c r="J97" s="2">
        <v>43.35</v>
      </c>
      <c r="K97" s="2">
        <f>F97+G97</f>
        <v>55.8</v>
      </c>
      <c r="L97" s="9"/>
      <c r="M97" s="2">
        <f t="shared" si="6"/>
        <v>74.349999999999994</v>
      </c>
      <c r="N97" s="18"/>
      <c r="O97" s="3" t="s">
        <v>134</v>
      </c>
      <c r="P97" s="3"/>
      <c r="Q97" s="10" t="s">
        <v>35</v>
      </c>
    </row>
    <row r="98" spans="1:17" x14ac:dyDescent="0.25">
      <c r="O98" s="20"/>
    </row>
  </sheetData>
  <autoFilter ref="A1:R97" xr:uid="{456F7534-331B-44C5-B8BF-A9A2340E7003}">
    <filterColumn colId="4">
      <filters>
        <filter val="1+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topLeftCell="A4" zoomScaleNormal="100" workbookViewId="0">
      <selection activeCell="J18" sqref="J18"/>
    </sheetView>
  </sheetViews>
  <sheetFormatPr defaultColWidth="9.140625" defaultRowHeight="15" x14ac:dyDescent="0.25"/>
  <cols>
    <col min="1" max="1" width="6.7109375" style="1" bestFit="1" customWidth="1"/>
    <col min="2" max="2" width="14.42578125" style="1" bestFit="1" customWidth="1"/>
    <col min="3" max="3" width="9" style="1" customWidth="1"/>
    <col min="4" max="4" width="8.140625" style="1" bestFit="1" customWidth="1"/>
    <col min="5" max="5" width="15" style="1" bestFit="1" customWidth="1"/>
    <col min="6" max="6" width="12.7109375" style="1" customWidth="1"/>
    <col min="7" max="7" width="13.42578125" style="1" bestFit="1" customWidth="1"/>
    <col min="8" max="8" width="13" style="1" bestFit="1" customWidth="1"/>
    <col min="9" max="9" width="11.140625" style="1" customWidth="1"/>
    <col min="10" max="10" width="10.85546875" style="1" customWidth="1"/>
    <col min="11" max="11" width="12.7109375" style="1" bestFit="1" customWidth="1"/>
    <col min="12" max="12" width="20" style="1" customWidth="1"/>
    <col min="13" max="13" width="15" style="1" bestFit="1" customWidth="1"/>
    <col min="14" max="18" width="13" style="1" customWidth="1"/>
    <col min="19" max="19" width="11.42578125" style="1" customWidth="1"/>
    <col min="20" max="16384" width="9.140625" style="1"/>
  </cols>
  <sheetData>
    <row r="1" spans="1:16" ht="46.5" x14ac:dyDescent="0.25">
      <c r="A1" s="31" t="s">
        <v>19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6" ht="21" customHeight="1" x14ac:dyDescent="0.25">
      <c r="A2" s="30" t="s">
        <v>4</v>
      </c>
      <c r="B2" s="30" t="s">
        <v>5</v>
      </c>
      <c r="C2" s="30" t="s">
        <v>1</v>
      </c>
      <c r="D2" s="30" t="s">
        <v>7</v>
      </c>
      <c r="E2" s="30" t="s">
        <v>2</v>
      </c>
      <c r="F2" s="30" t="s">
        <v>16</v>
      </c>
      <c r="G2" s="30" t="s">
        <v>9</v>
      </c>
      <c r="H2" s="30" t="s">
        <v>14</v>
      </c>
      <c r="I2" s="30" t="s">
        <v>3</v>
      </c>
      <c r="J2" s="30" t="s">
        <v>10</v>
      </c>
      <c r="K2" s="26" t="s">
        <v>20</v>
      </c>
      <c r="L2" s="26"/>
      <c r="M2" s="34" t="s">
        <v>0</v>
      </c>
    </row>
    <row r="3" spans="1:16" ht="21" x14ac:dyDescent="0.25">
      <c r="A3" s="30"/>
      <c r="B3" s="30"/>
      <c r="C3" s="30"/>
      <c r="D3" s="30"/>
      <c r="E3" s="30"/>
      <c r="F3" s="30"/>
      <c r="G3" s="30"/>
      <c r="H3" s="30"/>
      <c r="I3" s="34"/>
      <c r="J3" s="34"/>
      <c r="K3" s="26" t="s">
        <v>21</v>
      </c>
      <c r="L3" s="26"/>
      <c r="M3" s="34"/>
    </row>
    <row r="4" spans="1:16" ht="21" x14ac:dyDescent="0.25">
      <c r="A4" s="3">
        <v>1</v>
      </c>
      <c r="B4" s="4" t="s">
        <v>11</v>
      </c>
      <c r="C4" s="4" t="s">
        <v>13</v>
      </c>
      <c r="D4" s="4" t="s">
        <v>17</v>
      </c>
      <c r="E4" s="2">
        <v>47.8</v>
      </c>
      <c r="F4" s="2">
        <v>7.2</v>
      </c>
      <c r="G4" s="2"/>
      <c r="H4" s="2">
        <v>18.55</v>
      </c>
      <c r="I4" s="2">
        <v>42.2</v>
      </c>
      <c r="J4" s="2">
        <f t="shared" ref="J4:J20" si="0">E4+F4</f>
        <v>55</v>
      </c>
      <c r="K4" s="26"/>
      <c r="L4" s="26"/>
      <c r="M4" s="2">
        <f t="shared" ref="M4:M19" si="1">+E4+F4+G4+K4+H4</f>
        <v>73.55</v>
      </c>
    </row>
    <row r="5" spans="1:16" ht="21" x14ac:dyDescent="0.25">
      <c r="A5" s="3">
        <v>2</v>
      </c>
      <c r="B5" s="4" t="s">
        <v>11</v>
      </c>
      <c r="C5" s="4" t="s">
        <v>13</v>
      </c>
      <c r="D5" s="4" t="s">
        <v>17</v>
      </c>
      <c r="E5" s="2">
        <v>46.7</v>
      </c>
      <c r="F5" s="2">
        <v>7.2</v>
      </c>
      <c r="G5" s="2"/>
      <c r="H5" s="2">
        <v>18.55</v>
      </c>
      <c r="I5" s="2">
        <v>41.45</v>
      </c>
      <c r="J5" s="2">
        <f t="shared" si="0"/>
        <v>53.900000000000006</v>
      </c>
      <c r="K5" s="26"/>
      <c r="L5" s="26"/>
      <c r="M5" s="2">
        <f t="shared" si="1"/>
        <v>72.45</v>
      </c>
    </row>
    <row r="6" spans="1:16" ht="30" x14ac:dyDescent="0.25">
      <c r="A6" s="3">
        <v>3</v>
      </c>
      <c r="B6" s="4" t="s">
        <v>15</v>
      </c>
      <c r="C6" s="4" t="s">
        <v>6</v>
      </c>
      <c r="D6" s="4" t="s">
        <v>8</v>
      </c>
      <c r="E6" s="2">
        <v>98.7</v>
      </c>
      <c r="F6" s="2">
        <v>6.35</v>
      </c>
      <c r="G6" s="2">
        <v>5.15</v>
      </c>
      <c r="H6" s="2">
        <v>18.649999999999999</v>
      </c>
      <c r="I6" s="2">
        <v>91.9</v>
      </c>
      <c r="J6" s="2">
        <f t="shared" si="0"/>
        <v>105.05</v>
      </c>
      <c r="K6" s="26"/>
      <c r="L6" s="26"/>
      <c r="M6" s="2">
        <f t="shared" si="1"/>
        <v>128.85</v>
      </c>
    </row>
    <row r="7" spans="1:16" ht="30" x14ac:dyDescent="0.25">
      <c r="A7" s="3">
        <v>4</v>
      </c>
      <c r="B7" s="4" t="s">
        <v>15</v>
      </c>
      <c r="C7" s="4" t="s">
        <v>6</v>
      </c>
      <c r="D7" s="4" t="s">
        <v>8</v>
      </c>
      <c r="E7" s="2">
        <v>90.9</v>
      </c>
      <c r="F7" s="2">
        <v>6.6</v>
      </c>
      <c r="G7" s="2">
        <v>3.75</v>
      </c>
      <c r="H7" s="2">
        <v>18.649999999999999</v>
      </c>
      <c r="I7" s="2">
        <v>84.65</v>
      </c>
      <c r="J7" s="2">
        <f t="shared" si="0"/>
        <v>97.5</v>
      </c>
      <c r="K7" s="29" t="s">
        <v>22</v>
      </c>
      <c r="L7" s="29"/>
      <c r="M7" s="2" t="e">
        <f t="shared" si="1"/>
        <v>#VALUE!</v>
      </c>
      <c r="N7" s="6">
        <v>9750000</v>
      </c>
    </row>
    <row r="8" spans="1:16" ht="30" x14ac:dyDescent="0.25">
      <c r="A8" s="3">
        <v>5</v>
      </c>
      <c r="B8" s="4" t="s">
        <v>15</v>
      </c>
      <c r="C8" s="4" t="s">
        <v>6</v>
      </c>
      <c r="D8" s="4" t="s">
        <v>8</v>
      </c>
      <c r="E8" s="2">
        <v>92.7</v>
      </c>
      <c r="F8" s="2">
        <v>6.65</v>
      </c>
      <c r="G8" s="2">
        <v>3.75</v>
      </c>
      <c r="H8" s="2">
        <v>18.649999999999999</v>
      </c>
      <c r="I8" s="2">
        <v>85.7</v>
      </c>
      <c r="J8" s="2">
        <f t="shared" si="0"/>
        <v>99.350000000000009</v>
      </c>
      <c r="K8" s="26"/>
      <c r="L8" s="26"/>
      <c r="M8" s="2">
        <f t="shared" si="1"/>
        <v>121.75</v>
      </c>
    </row>
    <row r="9" spans="1:16" ht="30" x14ac:dyDescent="0.25">
      <c r="A9" s="3">
        <v>6</v>
      </c>
      <c r="B9" s="4" t="s">
        <v>15</v>
      </c>
      <c r="C9" s="4" t="s">
        <v>6</v>
      </c>
      <c r="D9" s="4" t="s">
        <v>8</v>
      </c>
      <c r="E9" s="2">
        <v>92.3</v>
      </c>
      <c r="F9" s="2">
        <v>6.65</v>
      </c>
      <c r="G9" s="2">
        <v>3.75</v>
      </c>
      <c r="H9" s="2">
        <v>18.649999999999999</v>
      </c>
      <c r="I9" s="2">
        <v>86.3</v>
      </c>
      <c r="J9" s="2">
        <f t="shared" si="0"/>
        <v>98.95</v>
      </c>
      <c r="K9" s="26"/>
      <c r="L9" s="26"/>
      <c r="M9" s="2">
        <f t="shared" si="1"/>
        <v>121.35</v>
      </c>
    </row>
    <row r="10" spans="1:16" ht="30" x14ac:dyDescent="0.25">
      <c r="A10" s="3">
        <v>7</v>
      </c>
      <c r="B10" s="4" t="s">
        <v>15</v>
      </c>
      <c r="C10" s="4" t="s">
        <v>6</v>
      </c>
      <c r="D10" s="4" t="s">
        <v>8</v>
      </c>
      <c r="E10" s="2">
        <v>91.6</v>
      </c>
      <c r="F10" s="2">
        <v>6.6</v>
      </c>
      <c r="G10" s="2">
        <v>3.75</v>
      </c>
      <c r="H10" s="2">
        <v>18.649999999999999</v>
      </c>
      <c r="I10" s="2">
        <v>85.75</v>
      </c>
      <c r="J10" s="2">
        <f t="shared" si="0"/>
        <v>98.199999999999989</v>
      </c>
      <c r="K10" s="26"/>
      <c r="L10" s="26"/>
      <c r="M10" s="2">
        <f t="shared" si="1"/>
        <v>120.6</v>
      </c>
    </row>
    <row r="11" spans="1:16" ht="30" x14ac:dyDescent="0.25">
      <c r="A11" s="3">
        <v>8</v>
      </c>
      <c r="B11" s="4" t="s">
        <v>15</v>
      </c>
      <c r="C11" s="4" t="s">
        <v>6</v>
      </c>
      <c r="D11" s="4" t="s">
        <v>8</v>
      </c>
      <c r="E11" s="2">
        <v>98.7</v>
      </c>
      <c r="F11" s="2">
        <v>6.35</v>
      </c>
      <c r="G11" s="2">
        <v>5.15</v>
      </c>
      <c r="H11" s="2">
        <v>18.649999999999999</v>
      </c>
      <c r="I11" s="2">
        <v>90.6</v>
      </c>
      <c r="J11" s="2">
        <f t="shared" si="0"/>
        <v>105.05</v>
      </c>
      <c r="K11" s="29" t="s">
        <v>22</v>
      </c>
      <c r="L11" s="29"/>
      <c r="M11" s="2" t="e">
        <f t="shared" si="1"/>
        <v>#VALUE!</v>
      </c>
      <c r="N11" s="6">
        <v>9500000</v>
      </c>
    </row>
    <row r="12" spans="1:16" ht="21" x14ac:dyDescent="0.25">
      <c r="A12" s="3">
        <v>9</v>
      </c>
      <c r="B12" s="4" t="s">
        <v>11</v>
      </c>
      <c r="C12" s="4" t="s">
        <v>13</v>
      </c>
      <c r="D12" s="4" t="s">
        <v>17</v>
      </c>
      <c r="E12" s="2">
        <v>47.6</v>
      </c>
      <c r="F12" s="2">
        <v>7.2</v>
      </c>
      <c r="G12" s="2"/>
      <c r="H12" s="2">
        <v>18.55</v>
      </c>
      <c r="I12" s="2">
        <v>42.4</v>
      </c>
      <c r="J12" s="2">
        <f t="shared" si="0"/>
        <v>54.800000000000004</v>
      </c>
      <c r="K12" s="26"/>
      <c r="L12" s="26"/>
      <c r="M12" s="2">
        <f t="shared" si="1"/>
        <v>73.350000000000009</v>
      </c>
    </row>
    <row r="13" spans="1:16" ht="21" x14ac:dyDescent="0.25">
      <c r="A13" s="3">
        <v>10</v>
      </c>
      <c r="B13" s="4" t="s">
        <v>11</v>
      </c>
      <c r="C13" s="4" t="s">
        <v>13</v>
      </c>
      <c r="D13" s="4" t="s">
        <v>17</v>
      </c>
      <c r="E13" s="2">
        <v>41.3</v>
      </c>
      <c r="F13" s="2">
        <v>4.0999999999999996</v>
      </c>
      <c r="G13" s="2"/>
      <c r="H13" s="2">
        <v>18.55</v>
      </c>
      <c r="I13" s="2">
        <v>36</v>
      </c>
      <c r="J13" s="2">
        <f t="shared" si="0"/>
        <v>45.4</v>
      </c>
      <c r="K13" s="26"/>
      <c r="L13" s="26"/>
      <c r="M13" s="2">
        <f t="shared" si="1"/>
        <v>63.95</v>
      </c>
    </row>
    <row r="14" spans="1:16" ht="21" x14ac:dyDescent="0.25">
      <c r="A14" s="3">
        <v>11</v>
      </c>
      <c r="B14" s="4" t="s">
        <v>12</v>
      </c>
      <c r="C14" s="4" t="s">
        <v>13</v>
      </c>
      <c r="D14" s="4" t="s">
        <v>17</v>
      </c>
      <c r="E14" s="2">
        <v>49.25</v>
      </c>
      <c r="F14" s="2">
        <v>6.9</v>
      </c>
      <c r="G14" s="2"/>
      <c r="H14" s="2">
        <v>18.55</v>
      </c>
      <c r="I14" s="2">
        <v>43.45</v>
      </c>
      <c r="J14" s="2">
        <f t="shared" si="0"/>
        <v>56.15</v>
      </c>
      <c r="K14" s="28" t="s">
        <v>22</v>
      </c>
      <c r="L14" s="28"/>
      <c r="M14" s="2" t="e">
        <f t="shared" si="1"/>
        <v>#VALUE!</v>
      </c>
      <c r="N14" s="6">
        <v>4750000</v>
      </c>
      <c r="O14" s="11">
        <f>N14/2</f>
        <v>2375000</v>
      </c>
      <c r="P14" s="1">
        <f>O14/12</f>
        <v>197916.66666666666</v>
      </c>
    </row>
    <row r="15" spans="1:16" ht="21" x14ac:dyDescent="0.25">
      <c r="A15" s="3">
        <v>12</v>
      </c>
      <c r="B15" s="4" t="s">
        <v>12</v>
      </c>
      <c r="C15" s="4" t="s">
        <v>13</v>
      </c>
      <c r="D15" s="4" t="s">
        <v>17</v>
      </c>
      <c r="E15" s="2">
        <v>46.65</v>
      </c>
      <c r="F15" s="2">
        <v>7.2</v>
      </c>
      <c r="G15" s="2"/>
      <c r="H15" s="2">
        <v>18.55</v>
      </c>
      <c r="I15" s="2">
        <v>41.45</v>
      </c>
      <c r="J15" s="2">
        <f t="shared" si="0"/>
        <v>53.85</v>
      </c>
      <c r="K15" s="28" t="s">
        <v>22</v>
      </c>
      <c r="L15" s="28"/>
      <c r="M15" s="2" t="e">
        <f t="shared" si="1"/>
        <v>#VALUE!</v>
      </c>
      <c r="N15" s="6">
        <v>4750000</v>
      </c>
      <c r="O15" s="11"/>
    </row>
    <row r="16" spans="1:16" ht="21" x14ac:dyDescent="0.25">
      <c r="A16" s="3">
        <v>13</v>
      </c>
      <c r="B16" s="4" t="s">
        <v>12</v>
      </c>
      <c r="C16" s="4" t="s">
        <v>13</v>
      </c>
      <c r="D16" s="4" t="s">
        <v>18</v>
      </c>
      <c r="E16" s="2">
        <v>63.75</v>
      </c>
      <c r="F16" s="2">
        <v>7.2</v>
      </c>
      <c r="G16" s="2"/>
      <c r="H16" s="2">
        <v>18.55</v>
      </c>
      <c r="I16" s="2">
        <v>56.95</v>
      </c>
      <c r="J16" s="2">
        <f t="shared" si="0"/>
        <v>70.95</v>
      </c>
      <c r="K16" s="26"/>
      <c r="L16" s="26"/>
      <c r="M16" s="2">
        <f t="shared" si="1"/>
        <v>89.5</v>
      </c>
    </row>
    <row r="17" spans="1:14" ht="21" x14ac:dyDescent="0.25">
      <c r="A17" s="3">
        <v>14</v>
      </c>
      <c r="B17" s="4" t="s">
        <v>12</v>
      </c>
      <c r="C17" s="4" t="s">
        <v>13</v>
      </c>
      <c r="D17" s="4" t="s">
        <v>17</v>
      </c>
      <c r="E17" s="2">
        <v>49.15</v>
      </c>
      <c r="F17" s="2">
        <v>7.5</v>
      </c>
      <c r="G17" s="2"/>
      <c r="H17" s="2">
        <v>18.55</v>
      </c>
      <c r="I17" s="2">
        <v>43.75</v>
      </c>
      <c r="J17" s="2">
        <f t="shared" si="0"/>
        <v>56.65</v>
      </c>
      <c r="K17" s="26"/>
      <c r="L17" s="26"/>
      <c r="M17" s="2">
        <f t="shared" si="1"/>
        <v>75.2</v>
      </c>
    </row>
    <row r="18" spans="1:14" ht="21" x14ac:dyDescent="0.25">
      <c r="A18" s="3">
        <v>15</v>
      </c>
      <c r="B18" s="4" t="s">
        <v>12</v>
      </c>
      <c r="C18" s="4" t="s">
        <v>13</v>
      </c>
      <c r="D18" s="4" t="s">
        <v>17</v>
      </c>
      <c r="E18" s="2">
        <v>49.65</v>
      </c>
      <c r="F18" s="2">
        <v>7.8</v>
      </c>
      <c r="G18" s="2"/>
      <c r="H18" s="2">
        <v>18.55</v>
      </c>
      <c r="I18" s="2">
        <v>44.15</v>
      </c>
      <c r="J18" s="2">
        <f t="shared" si="0"/>
        <v>57.449999999999996</v>
      </c>
      <c r="K18" s="26"/>
      <c r="L18" s="26"/>
      <c r="M18" s="2">
        <f t="shared" si="1"/>
        <v>76</v>
      </c>
    </row>
    <row r="19" spans="1:14" ht="21" x14ac:dyDescent="0.25">
      <c r="A19" s="3">
        <v>16</v>
      </c>
      <c r="B19" s="4" t="s">
        <v>12</v>
      </c>
      <c r="C19" s="4" t="s">
        <v>13</v>
      </c>
      <c r="D19" s="4" t="s">
        <v>17</v>
      </c>
      <c r="E19" s="2">
        <v>49.5</v>
      </c>
      <c r="F19" s="2">
        <v>7.8</v>
      </c>
      <c r="G19" s="2"/>
      <c r="H19" s="2">
        <v>18.55</v>
      </c>
      <c r="I19" s="2">
        <v>44.5</v>
      </c>
      <c r="J19" s="2">
        <f t="shared" si="0"/>
        <v>57.3</v>
      </c>
      <c r="K19" s="26"/>
      <c r="L19" s="26"/>
      <c r="M19" s="2">
        <f t="shared" si="1"/>
        <v>75.849999999999994</v>
      </c>
    </row>
    <row r="20" spans="1:14" ht="21" x14ac:dyDescent="0.25">
      <c r="A20" s="3">
        <v>17</v>
      </c>
      <c r="B20" s="4" t="s">
        <v>12</v>
      </c>
      <c r="C20" s="4" t="s">
        <v>13</v>
      </c>
      <c r="D20" s="4" t="s">
        <v>17</v>
      </c>
      <c r="E20" s="2">
        <v>49.3</v>
      </c>
      <c r="F20" s="2">
        <v>7.5</v>
      </c>
      <c r="G20" s="2"/>
      <c r="H20" s="2">
        <v>18.55</v>
      </c>
      <c r="I20" s="2">
        <v>44.45</v>
      </c>
      <c r="J20" s="2">
        <f t="shared" si="0"/>
        <v>56.8</v>
      </c>
      <c r="K20" s="26"/>
      <c r="L20" s="26"/>
      <c r="M20" s="2">
        <f>+E20+F20+G20+K20+H20</f>
        <v>75.349999999999994</v>
      </c>
    </row>
    <row r="21" spans="1:14" ht="21" x14ac:dyDescent="0.25">
      <c r="A21" s="3">
        <v>18</v>
      </c>
      <c r="B21" s="4" t="s">
        <v>12</v>
      </c>
      <c r="C21" s="4" t="s">
        <v>13</v>
      </c>
      <c r="D21" s="4" t="s">
        <v>18</v>
      </c>
      <c r="E21" s="2">
        <v>63.75</v>
      </c>
      <c r="F21" s="2">
        <v>7.2</v>
      </c>
      <c r="G21" s="2"/>
      <c r="H21" s="2">
        <v>18.55</v>
      </c>
      <c r="I21" s="2">
        <v>56.95</v>
      </c>
      <c r="J21" s="2">
        <f>E21+F21</f>
        <v>70.95</v>
      </c>
      <c r="K21" s="27" t="s">
        <v>22</v>
      </c>
      <c r="L21" s="27"/>
      <c r="M21" s="2" t="e">
        <f>+E21+F21+G21+K21+H21</f>
        <v>#VALUE!</v>
      </c>
      <c r="N21" s="6">
        <v>7750000</v>
      </c>
    </row>
    <row r="22" spans="1:14" ht="21" x14ac:dyDescent="0.25">
      <c r="A22" s="3">
        <v>19</v>
      </c>
      <c r="B22" s="4" t="s">
        <v>12</v>
      </c>
      <c r="C22" s="4" t="s">
        <v>13</v>
      </c>
      <c r="D22" s="4" t="s">
        <v>17</v>
      </c>
      <c r="E22" s="2">
        <v>47</v>
      </c>
      <c r="F22" s="2">
        <v>7</v>
      </c>
      <c r="G22" s="2"/>
      <c r="H22" s="2">
        <v>18.55</v>
      </c>
      <c r="I22" s="2">
        <v>42.15</v>
      </c>
      <c r="J22" s="2">
        <f>E22+F22</f>
        <v>54</v>
      </c>
      <c r="K22" s="26"/>
      <c r="L22" s="26"/>
      <c r="M22" s="2">
        <f>+E22+F22+G22+K22+H22</f>
        <v>72.55</v>
      </c>
    </row>
    <row r="23" spans="1:14" ht="21" x14ac:dyDescent="0.25">
      <c r="A23" s="3">
        <v>20</v>
      </c>
      <c r="B23" s="4" t="s">
        <v>12</v>
      </c>
      <c r="C23" s="4" t="s">
        <v>13</v>
      </c>
      <c r="D23" s="4" t="s">
        <v>17</v>
      </c>
      <c r="E23" s="2">
        <v>48.9</v>
      </c>
      <c r="F23" s="2">
        <v>6.9</v>
      </c>
      <c r="G23" s="2"/>
      <c r="H23" s="2">
        <v>18.55</v>
      </c>
      <c r="I23" s="2">
        <v>43.35</v>
      </c>
      <c r="J23" s="2">
        <f>E23+F23</f>
        <v>55.8</v>
      </c>
      <c r="K23" s="26"/>
      <c r="L23" s="26"/>
      <c r="M23" s="2">
        <f>+E23+F23+G23+K23+H23</f>
        <v>74.349999999999994</v>
      </c>
    </row>
    <row r="24" spans="1:14" ht="21" x14ac:dyDescent="0.25">
      <c r="E24" s="5">
        <f t="shared" ref="E24:H24" si="2">SUM(E4:E23)</f>
        <v>1265.2</v>
      </c>
      <c r="F24" s="5">
        <f t="shared" si="2"/>
        <v>137.9</v>
      </c>
      <c r="G24" s="5">
        <f t="shared" si="2"/>
        <v>25.299999999999997</v>
      </c>
      <c r="H24" s="5">
        <f t="shared" si="2"/>
        <v>371.60000000000014</v>
      </c>
      <c r="I24" s="5"/>
      <c r="J24" s="5"/>
      <c r="K24" s="26"/>
      <c r="L24" s="26"/>
      <c r="M24" s="5" t="e">
        <f>SUM(M4:M23)</f>
        <v>#VALUE!</v>
      </c>
    </row>
  </sheetData>
  <mergeCells count="35">
    <mergeCell ref="G2:G3"/>
    <mergeCell ref="A1:M1"/>
    <mergeCell ref="A2:A3"/>
    <mergeCell ref="I2:I3"/>
    <mergeCell ref="K2:L2"/>
    <mergeCell ref="M2:M3"/>
    <mergeCell ref="C2:C3"/>
    <mergeCell ref="E2:E3"/>
    <mergeCell ref="F2:F3"/>
    <mergeCell ref="B2:B3"/>
    <mergeCell ref="D2:D3"/>
    <mergeCell ref="J2:J3"/>
    <mergeCell ref="H2:H3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24:L24"/>
    <mergeCell ref="K19:L19"/>
    <mergeCell ref="K20:L20"/>
    <mergeCell ref="K21:L21"/>
    <mergeCell ref="K22:L22"/>
    <mergeCell ref="K23:L2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10DF-D251-4881-9AA9-87ED4107E244}">
  <dimension ref="A1:O22"/>
  <sheetViews>
    <sheetView topLeftCell="A8" zoomScale="90" zoomScaleNormal="90" workbookViewId="0">
      <selection activeCell="K18" sqref="K18:L18"/>
    </sheetView>
  </sheetViews>
  <sheetFormatPr defaultColWidth="8.85546875" defaultRowHeight="15" x14ac:dyDescent="0.25"/>
  <cols>
    <col min="5" max="5" width="18.140625" customWidth="1"/>
    <col min="6" max="6" width="13.7109375" customWidth="1"/>
    <col min="7" max="7" width="13.85546875" customWidth="1"/>
    <col min="8" max="8" width="14.140625" customWidth="1"/>
    <col min="9" max="9" width="14.85546875" customWidth="1"/>
    <col min="10" max="10" width="15.85546875" customWidth="1"/>
    <col min="12" max="12" width="19.42578125" customWidth="1"/>
    <col min="13" max="13" width="14.85546875" customWidth="1"/>
    <col min="14" max="14" width="10.140625" bestFit="1" customWidth="1"/>
  </cols>
  <sheetData>
    <row r="1" spans="1:15" ht="46.5" x14ac:dyDescent="0.25">
      <c r="A1" s="31" t="s">
        <v>23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5" ht="21" x14ac:dyDescent="0.25">
      <c r="A2" s="30" t="s">
        <v>4</v>
      </c>
      <c r="B2" s="30" t="s">
        <v>5</v>
      </c>
      <c r="C2" s="30" t="s">
        <v>1</v>
      </c>
      <c r="D2" s="30" t="s">
        <v>7</v>
      </c>
      <c r="E2" s="30" t="s">
        <v>2</v>
      </c>
      <c r="F2" s="30" t="s">
        <v>16</v>
      </c>
      <c r="G2" s="30" t="s">
        <v>9</v>
      </c>
      <c r="H2" s="30" t="s">
        <v>14</v>
      </c>
      <c r="I2" s="30" t="s">
        <v>3</v>
      </c>
      <c r="J2" s="30" t="s">
        <v>10</v>
      </c>
      <c r="K2" s="26" t="s">
        <v>20</v>
      </c>
      <c r="L2" s="26"/>
      <c r="M2" s="34" t="s">
        <v>0</v>
      </c>
    </row>
    <row r="3" spans="1:15" ht="21" x14ac:dyDescent="0.25">
      <c r="A3" s="30"/>
      <c r="B3" s="30"/>
      <c r="C3" s="30"/>
      <c r="D3" s="30"/>
      <c r="E3" s="30"/>
      <c r="F3" s="30"/>
      <c r="G3" s="30"/>
      <c r="H3" s="30"/>
      <c r="I3" s="34"/>
      <c r="J3" s="34"/>
      <c r="K3" s="26" t="s">
        <v>21</v>
      </c>
      <c r="L3" s="26"/>
      <c r="M3" s="34"/>
    </row>
    <row r="4" spans="1:15" ht="30" x14ac:dyDescent="0.25">
      <c r="A4" s="3">
        <v>1</v>
      </c>
      <c r="B4" s="4" t="s">
        <v>11</v>
      </c>
      <c r="C4" s="4" t="s">
        <v>13</v>
      </c>
      <c r="D4" s="4" t="s">
        <v>18</v>
      </c>
      <c r="E4" s="2">
        <v>60.05</v>
      </c>
      <c r="F4" s="2">
        <v>6.45</v>
      </c>
      <c r="G4" s="2"/>
      <c r="H4" s="2">
        <v>20.85</v>
      </c>
      <c r="I4" s="2">
        <v>52.9</v>
      </c>
      <c r="J4" s="2">
        <f>E4+F4</f>
        <v>66.5</v>
      </c>
      <c r="K4" s="26"/>
      <c r="L4" s="26"/>
      <c r="M4" s="2">
        <f t="shared" ref="M4:M18" si="0">+E4+F4+G4+K4+H4</f>
        <v>87.35</v>
      </c>
    </row>
    <row r="5" spans="1:15" ht="30" x14ac:dyDescent="0.25">
      <c r="A5" s="3">
        <v>2</v>
      </c>
      <c r="B5" s="4" t="s">
        <v>11</v>
      </c>
      <c r="C5" s="4" t="s">
        <v>13</v>
      </c>
      <c r="D5" s="4" t="s">
        <v>17</v>
      </c>
      <c r="E5" s="2">
        <v>44.2</v>
      </c>
      <c r="F5" s="2">
        <v>6.25</v>
      </c>
      <c r="G5" s="2"/>
      <c r="H5" s="2">
        <v>20.85</v>
      </c>
      <c r="I5" s="2">
        <v>39.1</v>
      </c>
      <c r="J5" s="2">
        <f t="shared" ref="J5:J19" si="1">E5+F5</f>
        <v>50.45</v>
      </c>
      <c r="K5" s="29" t="s">
        <v>22</v>
      </c>
      <c r="L5" s="29"/>
      <c r="M5" s="2" t="e">
        <f t="shared" si="0"/>
        <v>#VALUE!</v>
      </c>
      <c r="N5" s="8">
        <v>5500000</v>
      </c>
    </row>
    <row r="6" spans="1:15" ht="60" x14ac:dyDescent="0.25">
      <c r="A6" s="3">
        <v>3</v>
      </c>
      <c r="B6" s="4" t="s">
        <v>15</v>
      </c>
      <c r="C6" s="4" t="s">
        <v>6</v>
      </c>
      <c r="D6" s="4" t="s">
        <v>8</v>
      </c>
      <c r="E6" s="2">
        <v>87.45</v>
      </c>
      <c r="F6" s="2">
        <v>6.15</v>
      </c>
      <c r="G6" s="2">
        <v>4.75</v>
      </c>
      <c r="H6" s="2">
        <v>20.85</v>
      </c>
      <c r="I6" s="2">
        <v>80</v>
      </c>
      <c r="J6" s="2">
        <f t="shared" si="1"/>
        <v>93.600000000000009</v>
      </c>
      <c r="K6" s="26"/>
      <c r="L6" s="26"/>
      <c r="M6" s="2">
        <f t="shared" si="0"/>
        <v>119.20000000000002</v>
      </c>
    </row>
    <row r="7" spans="1:15" ht="60" x14ac:dyDescent="0.25">
      <c r="A7" s="3">
        <v>4</v>
      </c>
      <c r="B7" s="4" t="s">
        <v>15</v>
      </c>
      <c r="C7" s="4" t="s">
        <v>6</v>
      </c>
      <c r="D7" s="4" t="s">
        <v>8</v>
      </c>
      <c r="E7" s="2">
        <v>80.900000000000006</v>
      </c>
      <c r="F7" s="2">
        <v>5.85</v>
      </c>
      <c r="G7" s="2">
        <v>3.5</v>
      </c>
      <c r="H7" s="2">
        <v>20.9</v>
      </c>
      <c r="I7" s="2">
        <v>75.8</v>
      </c>
      <c r="J7" s="2">
        <f t="shared" si="1"/>
        <v>86.75</v>
      </c>
      <c r="K7" s="29" t="s">
        <v>22</v>
      </c>
      <c r="L7" s="29"/>
      <c r="M7" s="2" t="e">
        <f t="shared" si="0"/>
        <v>#VALUE!</v>
      </c>
      <c r="N7" s="7">
        <v>9500000</v>
      </c>
    </row>
    <row r="8" spans="1:15" ht="60" x14ac:dyDescent="0.25">
      <c r="A8" s="3">
        <v>5</v>
      </c>
      <c r="B8" s="4" t="s">
        <v>15</v>
      </c>
      <c r="C8" s="4" t="s">
        <v>6</v>
      </c>
      <c r="D8" s="4" t="s">
        <v>24</v>
      </c>
      <c r="E8" s="2">
        <v>115.3</v>
      </c>
      <c r="F8" s="2">
        <v>6.05</v>
      </c>
      <c r="G8" s="2">
        <v>3.55</v>
      </c>
      <c r="H8" s="2">
        <v>20.9</v>
      </c>
      <c r="I8" s="2">
        <v>106.05</v>
      </c>
      <c r="J8" s="2">
        <f t="shared" si="1"/>
        <v>121.35</v>
      </c>
      <c r="K8" s="35" t="s">
        <v>22</v>
      </c>
      <c r="L8" s="35"/>
      <c r="M8" s="2" t="e">
        <f t="shared" si="0"/>
        <v>#VALUE!</v>
      </c>
      <c r="N8" s="7">
        <v>10000000</v>
      </c>
    </row>
    <row r="9" spans="1:15" ht="60" x14ac:dyDescent="0.25">
      <c r="A9" s="3">
        <v>6</v>
      </c>
      <c r="B9" s="4" t="s">
        <v>15</v>
      </c>
      <c r="C9" s="4" t="s">
        <v>6</v>
      </c>
      <c r="D9" s="4" t="s">
        <v>24</v>
      </c>
      <c r="E9" s="2">
        <v>115.55</v>
      </c>
      <c r="F9" s="2">
        <v>6.1</v>
      </c>
      <c r="G9" s="2">
        <v>3.55</v>
      </c>
      <c r="H9" s="2">
        <v>20.9</v>
      </c>
      <c r="I9" s="2">
        <v>107.1</v>
      </c>
      <c r="J9" s="2">
        <f t="shared" si="1"/>
        <v>121.64999999999999</v>
      </c>
      <c r="K9" s="28" t="s">
        <v>22</v>
      </c>
      <c r="L9" s="28"/>
      <c r="M9" s="2" t="e">
        <f t="shared" si="0"/>
        <v>#VALUE!</v>
      </c>
      <c r="N9" s="7">
        <v>9750000</v>
      </c>
    </row>
    <row r="10" spans="1:15" ht="60" x14ac:dyDescent="0.25">
      <c r="A10" s="3">
        <v>7</v>
      </c>
      <c r="B10" s="4" t="s">
        <v>15</v>
      </c>
      <c r="C10" s="4" t="s">
        <v>6</v>
      </c>
      <c r="D10" s="4" t="s">
        <v>8</v>
      </c>
      <c r="E10" s="2">
        <v>115.05</v>
      </c>
      <c r="F10" s="2">
        <v>4.3499999999999996</v>
      </c>
      <c r="G10" s="2">
        <v>3.8</v>
      </c>
      <c r="H10" s="2">
        <v>20.9</v>
      </c>
      <c r="I10" s="2">
        <v>106.6</v>
      </c>
      <c r="J10" s="2">
        <f t="shared" si="1"/>
        <v>119.39999999999999</v>
      </c>
      <c r="K10" s="35" t="s">
        <v>22</v>
      </c>
      <c r="L10" s="35"/>
      <c r="M10" s="2" t="e">
        <f t="shared" si="0"/>
        <v>#VALUE!</v>
      </c>
      <c r="N10" s="7">
        <v>9250000</v>
      </c>
    </row>
    <row r="11" spans="1:15" ht="30" x14ac:dyDescent="0.25">
      <c r="A11" s="3">
        <v>8</v>
      </c>
      <c r="B11" s="4" t="s">
        <v>11</v>
      </c>
      <c r="C11" s="4" t="s">
        <v>13</v>
      </c>
      <c r="D11" s="4" t="s">
        <v>17</v>
      </c>
      <c r="E11" s="2">
        <v>49.95</v>
      </c>
      <c r="F11" s="2">
        <v>4.3499999999999996</v>
      </c>
      <c r="G11" s="2"/>
      <c r="H11" s="2">
        <v>20.85</v>
      </c>
      <c r="I11" s="2">
        <v>44.5</v>
      </c>
      <c r="J11" s="2">
        <f t="shared" si="1"/>
        <v>54.300000000000004</v>
      </c>
      <c r="K11" s="29" t="s">
        <v>22</v>
      </c>
      <c r="L11" s="29"/>
      <c r="M11" s="2" t="e">
        <f t="shared" si="0"/>
        <v>#VALUE!</v>
      </c>
      <c r="N11" s="7">
        <v>5500000</v>
      </c>
      <c r="O11" t="s">
        <v>29</v>
      </c>
    </row>
    <row r="12" spans="1:15" ht="30" x14ac:dyDescent="0.25">
      <c r="A12" s="3">
        <v>9</v>
      </c>
      <c r="B12" s="4" t="s">
        <v>11</v>
      </c>
      <c r="C12" s="4" t="s">
        <v>13</v>
      </c>
      <c r="D12" s="4" t="s">
        <v>18</v>
      </c>
      <c r="E12" s="2">
        <v>60.75</v>
      </c>
      <c r="F12" s="2">
        <v>6.65</v>
      </c>
      <c r="G12" s="2"/>
      <c r="H12" s="2">
        <v>20.85</v>
      </c>
      <c r="I12" s="2">
        <v>53.45</v>
      </c>
      <c r="J12" s="2">
        <f t="shared" si="1"/>
        <v>67.400000000000006</v>
      </c>
      <c r="K12" s="26"/>
      <c r="L12" s="26"/>
      <c r="M12" s="2">
        <f t="shared" si="0"/>
        <v>88.25</v>
      </c>
    </row>
    <row r="13" spans="1:15" ht="30" x14ac:dyDescent="0.25">
      <c r="A13" s="3">
        <v>10</v>
      </c>
      <c r="B13" s="4" t="s">
        <v>12</v>
      </c>
      <c r="C13" s="4" t="s">
        <v>13</v>
      </c>
      <c r="D13" s="4" t="s">
        <v>18</v>
      </c>
      <c r="E13" s="2">
        <v>60.1</v>
      </c>
      <c r="F13" s="2">
        <v>6.45</v>
      </c>
      <c r="G13" s="2"/>
      <c r="H13" s="2">
        <v>20.85</v>
      </c>
      <c r="I13" s="2">
        <v>52.95</v>
      </c>
      <c r="J13" s="2">
        <f t="shared" si="1"/>
        <v>66.55</v>
      </c>
      <c r="K13" s="26"/>
      <c r="L13" s="26"/>
      <c r="M13" s="2">
        <f t="shared" si="0"/>
        <v>87.4</v>
      </c>
    </row>
    <row r="14" spans="1:15" ht="30" x14ac:dyDescent="0.25">
      <c r="A14" s="3">
        <v>11</v>
      </c>
      <c r="B14" s="4" t="s">
        <v>12</v>
      </c>
      <c r="C14" s="4" t="s">
        <v>13</v>
      </c>
      <c r="D14" s="4" t="s">
        <v>17</v>
      </c>
      <c r="E14" s="2">
        <v>44.2</v>
      </c>
      <c r="F14" s="2">
        <v>6.25</v>
      </c>
      <c r="G14" s="2"/>
      <c r="H14" s="2">
        <v>20.85</v>
      </c>
      <c r="I14" s="2">
        <v>39.1</v>
      </c>
      <c r="J14" s="2">
        <f t="shared" si="1"/>
        <v>50.45</v>
      </c>
      <c r="K14" s="26"/>
      <c r="L14" s="26"/>
      <c r="M14" s="2">
        <f t="shared" si="0"/>
        <v>71.300000000000011</v>
      </c>
    </row>
    <row r="15" spans="1:15" ht="30" x14ac:dyDescent="0.25">
      <c r="A15" s="3">
        <v>12</v>
      </c>
      <c r="B15" s="4" t="s">
        <v>12</v>
      </c>
      <c r="C15" s="4" t="s">
        <v>13</v>
      </c>
      <c r="D15" s="4" t="s">
        <v>18</v>
      </c>
      <c r="E15" s="2">
        <v>60.75</v>
      </c>
      <c r="F15" s="2">
        <v>6.2</v>
      </c>
      <c r="G15" s="2"/>
      <c r="H15" s="2">
        <v>20.85</v>
      </c>
      <c r="I15" s="2">
        <v>54.1</v>
      </c>
      <c r="J15" s="2">
        <f t="shared" si="1"/>
        <v>66.95</v>
      </c>
      <c r="K15" s="26"/>
      <c r="L15" s="26"/>
      <c r="M15" s="2">
        <f t="shared" si="0"/>
        <v>87.800000000000011</v>
      </c>
    </row>
    <row r="16" spans="1:15" ht="30" x14ac:dyDescent="0.25">
      <c r="A16" s="3">
        <v>13</v>
      </c>
      <c r="B16" s="4" t="s">
        <v>12</v>
      </c>
      <c r="C16" s="4" t="s">
        <v>13</v>
      </c>
      <c r="D16" s="4" t="s">
        <v>17</v>
      </c>
      <c r="E16" s="2">
        <v>44.6</v>
      </c>
      <c r="F16" s="2">
        <v>5.9</v>
      </c>
      <c r="G16" s="2"/>
      <c r="H16" s="2">
        <v>20.85</v>
      </c>
      <c r="I16" s="2">
        <v>39.5</v>
      </c>
      <c r="J16" s="2">
        <f t="shared" si="1"/>
        <v>50.5</v>
      </c>
      <c r="K16" s="26"/>
      <c r="L16" s="26"/>
      <c r="M16" s="2">
        <f t="shared" si="0"/>
        <v>71.349999999999994</v>
      </c>
    </row>
    <row r="17" spans="1:14" ht="30" x14ac:dyDescent="0.25">
      <c r="A17" s="3">
        <v>14</v>
      </c>
      <c r="B17" s="4" t="s">
        <v>12</v>
      </c>
      <c r="C17" s="4" t="s">
        <v>13</v>
      </c>
      <c r="D17" s="4" t="s">
        <v>18</v>
      </c>
      <c r="E17" s="2">
        <v>62.95</v>
      </c>
      <c r="F17" s="2">
        <v>6.85</v>
      </c>
      <c r="G17" s="2"/>
      <c r="H17" s="2">
        <v>20.85</v>
      </c>
      <c r="I17" s="2">
        <v>55.85</v>
      </c>
      <c r="J17" s="2">
        <f t="shared" si="1"/>
        <v>69.8</v>
      </c>
      <c r="K17" s="27" t="s">
        <v>22</v>
      </c>
      <c r="L17" s="27"/>
      <c r="M17" s="2" t="e">
        <f t="shared" si="0"/>
        <v>#VALUE!</v>
      </c>
      <c r="N17" s="7">
        <v>7500000</v>
      </c>
    </row>
    <row r="18" spans="1:14" ht="30" x14ac:dyDescent="0.25">
      <c r="A18" s="3">
        <v>15</v>
      </c>
      <c r="B18" s="4" t="s">
        <v>12</v>
      </c>
      <c r="C18" s="4" t="s">
        <v>13</v>
      </c>
      <c r="D18" s="4" t="s">
        <v>18</v>
      </c>
      <c r="E18" s="2">
        <v>63.1</v>
      </c>
      <c r="F18" s="2">
        <v>6.85</v>
      </c>
      <c r="G18" s="2"/>
      <c r="H18" s="2">
        <v>20.85</v>
      </c>
      <c r="I18" s="2">
        <v>56.35</v>
      </c>
      <c r="J18" s="2">
        <f t="shared" si="1"/>
        <v>69.95</v>
      </c>
      <c r="K18" s="26"/>
      <c r="L18" s="26"/>
      <c r="M18" s="2">
        <f t="shared" si="0"/>
        <v>90.800000000000011</v>
      </c>
    </row>
    <row r="19" spans="1:14" ht="30" x14ac:dyDescent="0.25">
      <c r="A19" s="3">
        <v>16</v>
      </c>
      <c r="B19" s="4" t="s">
        <v>12</v>
      </c>
      <c r="C19" s="4" t="s">
        <v>13</v>
      </c>
      <c r="D19" s="4" t="s">
        <v>18</v>
      </c>
      <c r="E19" s="2">
        <v>63.2</v>
      </c>
      <c r="F19" s="2">
        <v>4.3499999999999996</v>
      </c>
      <c r="G19" s="2"/>
      <c r="H19" s="2">
        <v>20.85</v>
      </c>
      <c r="I19" s="2">
        <v>56.95</v>
      </c>
      <c r="J19" s="2">
        <f t="shared" si="1"/>
        <v>67.55</v>
      </c>
      <c r="K19" s="26"/>
      <c r="L19" s="26"/>
      <c r="M19" s="2">
        <f>+E19+F19+G19+K19+H19</f>
        <v>88.4</v>
      </c>
    </row>
    <row r="20" spans="1:14" ht="30" x14ac:dyDescent="0.25">
      <c r="A20" s="3">
        <v>17</v>
      </c>
      <c r="B20" s="4" t="s">
        <v>12</v>
      </c>
      <c r="C20" s="4" t="s">
        <v>13</v>
      </c>
      <c r="D20" s="4" t="s">
        <v>18</v>
      </c>
      <c r="E20" s="2">
        <v>63.2</v>
      </c>
      <c r="F20" s="2">
        <v>4.3499999999999996</v>
      </c>
      <c r="G20" s="2"/>
      <c r="H20" s="2">
        <v>20.85</v>
      </c>
      <c r="I20" s="2">
        <v>56.95</v>
      </c>
      <c r="J20" s="2">
        <f>E20+F20</f>
        <v>67.55</v>
      </c>
      <c r="K20" s="26"/>
      <c r="L20" s="26"/>
      <c r="M20" s="2">
        <f>+E20+F20+G20+K20+H20</f>
        <v>88.4</v>
      </c>
    </row>
    <row r="21" spans="1:14" ht="30" x14ac:dyDescent="0.25">
      <c r="A21" s="3">
        <v>18</v>
      </c>
      <c r="B21" s="4" t="s">
        <v>12</v>
      </c>
      <c r="C21" s="4" t="s">
        <v>13</v>
      </c>
      <c r="D21" s="4" t="s">
        <v>18</v>
      </c>
      <c r="E21" s="2">
        <v>59.8</v>
      </c>
      <c r="F21" s="2">
        <v>6.85</v>
      </c>
      <c r="G21" s="2"/>
      <c r="H21" s="2">
        <v>20.85</v>
      </c>
      <c r="I21" s="2">
        <v>53.05</v>
      </c>
      <c r="J21" s="2">
        <f>E21+F21</f>
        <v>66.649999999999991</v>
      </c>
      <c r="K21" s="26"/>
      <c r="L21" s="26"/>
      <c r="M21" s="2">
        <f>+E21+F21+G21+K21+H21</f>
        <v>87.5</v>
      </c>
    </row>
    <row r="22" spans="1:14" ht="21" x14ac:dyDescent="0.25">
      <c r="A22" s="1"/>
      <c r="B22" s="1"/>
      <c r="C22" s="1"/>
      <c r="D22" s="1"/>
      <c r="E22" s="5">
        <f>SUM(E4:E21)</f>
        <v>1251.1000000000001</v>
      </c>
      <c r="F22" s="5">
        <f>SUM(F4:F21)</f>
        <v>106.24999999999999</v>
      </c>
      <c r="G22" s="5">
        <f>SUM(G4:G21)</f>
        <v>19.150000000000002</v>
      </c>
      <c r="H22" s="5">
        <f>SUM(H4:H21)</f>
        <v>375.50000000000011</v>
      </c>
      <c r="I22" s="5"/>
      <c r="J22" s="5"/>
      <c r="K22" s="26"/>
      <c r="L22" s="26"/>
      <c r="M22" s="5" t="e">
        <f>SUM(M4:M21)</f>
        <v>#VALUE!</v>
      </c>
    </row>
  </sheetData>
  <mergeCells count="33">
    <mergeCell ref="K18:L18"/>
    <mergeCell ref="K19:L19"/>
    <mergeCell ref="K20:L20"/>
    <mergeCell ref="K21:L21"/>
    <mergeCell ref="K22:L22"/>
    <mergeCell ref="K17:L17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5:L5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K3:L3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038D-DE83-4D1D-9CEF-065316012759}">
  <dimension ref="A1:N24"/>
  <sheetViews>
    <sheetView zoomScale="90" zoomScaleNormal="90" workbookViewId="0">
      <selection activeCell="I5" sqref="I5"/>
    </sheetView>
  </sheetViews>
  <sheetFormatPr defaultColWidth="8.85546875" defaultRowHeight="15" x14ac:dyDescent="0.25"/>
  <cols>
    <col min="5" max="5" width="14.140625" customWidth="1"/>
    <col min="6" max="6" width="12.7109375" customWidth="1"/>
    <col min="7" max="7" width="14.140625" customWidth="1"/>
    <col min="8" max="8" width="12.7109375" customWidth="1"/>
    <col min="9" max="9" width="12.42578125" customWidth="1"/>
    <col min="10" max="10" width="14.7109375" customWidth="1"/>
    <col min="12" max="12" width="17.28515625" customWidth="1"/>
    <col min="13" max="13" width="14.42578125" customWidth="1"/>
    <col min="14" max="14" width="10.140625" bestFit="1" customWidth="1"/>
  </cols>
  <sheetData>
    <row r="1" spans="1:14" ht="46.5" x14ac:dyDescent="0.25">
      <c r="A1" s="31" t="s">
        <v>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4" ht="21" x14ac:dyDescent="0.25">
      <c r="A2" s="30" t="s">
        <v>4</v>
      </c>
      <c r="B2" s="30" t="s">
        <v>5</v>
      </c>
      <c r="C2" s="30" t="s">
        <v>1</v>
      </c>
      <c r="D2" s="30" t="s">
        <v>7</v>
      </c>
      <c r="E2" s="30" t="s">
        <v>2</v>
      </c>
      <c r="F2" s="30" t="s">
        <v>16</v>
      </c>
      <c r="G2" s="30" t="s">
        <v>9</v>
      </c>
      <c r="H2" s="30" t="s">
        <v>14</v>
      </c>
      <c r="I2" s="30" t="s">
        <v>3</v>
      </c>
      <c r="J2" s="30" t="s">
        <v>10</v>
      </c>
      <c r="K2" s="26" t="s">
        <v>20</v>
      </c>
      <c r="L2" s="26"/>
      <c r="M2" s="34" t="s">
        <v>0</v>
      </c>
    </row>
    <row r="3" spans="1:14" ht="21" x14ac:dyDescent="0.25">
      <c r="A3" s="30"/>
      <c r="B3" s="30"/>
      <c r="C3" s="30"/>
      <c r="D3" s="30"/>
      <c r="E3" s="30"/>
      <c r="F3" s="30"/>
      <c r="G3" s="30"/>
      <c r="H3" s="30"/>
      <c r="I3" s="34"/>
      <c r="J3" s="34"/>
      <c r="K3" s="26" t="s">
        <v>21</v>
      </c>
      <c r="L3" s="26"/>
      <c r="M3" s="34"/>
    </row>
    <row r="4" spans="1:14" ht="60" x14ac:dyDescent="0.25">
      <c r="A4" s="3">
        <v>1</v>
      </c>
      <c r="B4" s="4" t="s">
        <v>15</v>
      </c>
      <c r="C4" s="4" t="s">
        <v>26</v>
      </c>
      <c r="D4" s="4" t="s">
        <v>8</v>
      </c>
      <c r="E4" s="2">
        <v>84.45</v>
      </c>
      <c r="F4" s="2">
        <v>6.15</v>
      </c>
      <c r="G4" s="2">
        <v>3.55</v>
      </c>
      <c r="H4" s="2">
        <v>9.9</v>
      </c>
      <c r="I4" s="2">
        <v>78.05</v>
      </c>
      <c r="J4" s="2">
        <f t="shared" ref="J4:J20" si="0">E4+F4</f>
        <v>90.600000000000009</v>
      </c>
      <c r="K4" s="26"/>
      <c r="L4" s="26"/>
      <c r="M4" s="2">
        <f t="shared" ref="M4:M19" si="1">+E4+F4+G4+K4+H4</f>
        <v>104.05000000000001</v>
      </c>
    </row>
    <row r="5" spans="1:14" ht="60" x14ac:dyDescent="0.25">
      <c r="A5" s="3">
        <v>2</v>
      </c>
      <c r="B5" s="4" t="s">
        <v>15</v>
      </c>
      <c r="C5" s="4" t="s">
        <v>26</v>
      </c>
      <c r="D5" s="4" t="s">
        <v>8</v>
      </c>
      <c r="E5" s="2">
        <v>83.7</v>
      </c>
      <c r="F5" s="2">
        <v>6.2</v>
      </c>
      <c r="G5" s="2">
        <v>3.75</v>
      </c>
      <c r="H5" s="2">
        <v>9.9</v>
      </c>
      <c r="I5" s="2">
        <v>78.900000000000006</v>
      </c>
      <c r="J5" s="2">
        <f t="shared" si="0"/>
        <v>89.9</v>
      </c>
      <c r="K5" s="28" t="s">
        <v>22</v>
      </c>
      <c r="L5" s="28"/>
      <c r="M5" s="2" t="e">
        <f t="shared" si="1"/>
        <v>#VALUE!</v>
      </c>
      <c r="N5" s="7">
        <v>8750000</v>
      </c>
    </row>
    <row r="6" spans="1:14" ht="60" x14ac:dyDescent="0.25">
      <c r="A6" s="3">
        <v>3</v>
      </c>
      <c r="B6" s="4" t="s">
        <v>15</v>
      </c>
      <c r="C6" s="4" t="s">
        <v>6</v>
      </c>
      <c r="D6" s="4" t="s">
        <v>24</v>
      </c>
      <c r="E6" s="2">
        <v>111.15</v>
      </c>
      <c r="F6" s="2">
        <v>6.35</v>
      </c>
      <c r="G6" s="2">
        <v>5.15</v>
      </c>
      <c r="H6" s="2">
        <v>9.9</v>
      </c>
      <c r="I6" s="2">
        <v>103.85</v>
      </c>
      <c r="J6" s="2">
        <f t="shared" si="0"/>
        <v>117.5</v>
      </c>
      <c r="K6" s="29" t="s">
        <v>22</v>
      </c>
      <c r="L6" s="29"/>
      <c r="M6" s="2" t="e">
        <f t="shared" si="1"/>
        <v>#VALUE!</v>
      </c>
      <c r="N6" s="7">
        <v>11000000</v>
      </c>
    </row>
    <row r="7" spans="1:14" ht="60" x14ac:dyDescent="0.25">
      <c r="A7" s="3">
        <v>4</v>
      </c>
      <c r="B7" s="4" t="s">
        <v>15</v>
      </c>
      <c r="C7" s="4" t="s">
        <v>6</v>
      </c>
      <c r="D7" s="4" t="s">
        <v>8</v>
      </c>
      <c r="E7" s="2">
        <v>100.45</v>
      </c>
      <c r="F7" s="2">
        <v>6.6</v>
      </c>
      <c r="G7" s="2">
        <v>3.75</v>
      </c>
      <c r="H7" s="2">
        <v>9.9</v>
      </c>
      <c r="I7" s="2">
        <v>93</v>
      </c>
      <c r="J7" s="2">
        <f t="shared" si="0"/>
        <v>107.05</v>
      </c>
      <c r="K7" s="28" t="s">
        <v>22</v>
      </c>
      <c r="L7" s="28"/>
      <c r="M7" s="2" t="e">
        <f t="shared" si="1"/>
        <v>#VALUE!</v>
      </c>
      <c r="N7" s="7">
        <v>8750000</v>
      </c>
    </row>
    <row r="8" spans="1:14" ht="60" x14ac:dyDescent="0.25">
      <c r="A8" s="3">
        <v>5</v>
      </c>
      <c r="B8" s="4" t="s">
        <v>15</v>
      </c>
      <c r="C8" s="4" t="s">
        <v>6</v>
      </c>
      <c r="D8" s="4" t="s">
        <v>8</v>
      </c>
      <c r="E8" s="2">
        <v>102.4</v>
      </c>
      <c r="F8" s="2">
        <v>6.65</v>
      </c>
      <c r="G8" s="2">
        <v>3.5</v>
      </c>
      <c r="H8" s="2">
        <v>9.9</v>
      </c>
      <c r="I8" s="2">
        <v>95.25</v>
      </c>
      <c r="J8" s="2">
        <f t="shared" si="0"/>
        <v>109.05000000000001</v>
      </c>
      <c r="K8" s="28" t="s">
        <v>22</v>
      </c>
      <c r="L8" s="28"/>
      <c r="M8" s="2" t="e">
        <f t="shared" si="1"/>
        <v>#VALUE!</v>
      </c>
      <c r="N8" s="7">
        <v>8750000</v>
      </c>
    </row>
    <row r="9" spans="1:14" ht="60" x14ac:dyDescent="0.25">
      <c r="A9" s="3">
        <v>6</v>
      </c>
      <c r="B9" s="4" t="s">
        <v>15</v>
      </c>
      <c r="C9" s="4" t="s">
        <v>6</v>
      </c>
      <c r="D9" s="4" t="s">
        <v>8</v>
      </c>
      <c r="E9" s="2">
        <v>89.1</v>
      </c>
      <c r="F9" s="2">
        <v>6.65</v>
      </c>
      <c r="G9" s="2">
        <v>3.75</v>
      </c>
      <c r="H9" s="2">
        <v>9.9</v>
      </c>
      <c r="I9" s="2">
        <v>83.3</v>
      </c>
      <c r="J9" s="2">
        <f t="shared" si="0"/>
        <v>95.75</v>
      </c>
      <c r="K9" s="35" t="s">
        <v>22</v>
      </c>
      <c r="L9" s="35"/>
      <c r="M9" s="2" t="e">
        <f t="shared" si="1"/>
        <v>#VALUE!</v>
      </c>
      <c r="N9" s="7">
        <v>9000000</v>
      </c>
    </row>
    <row r="10" spans="1:14" ht="60" x14ac:dyDescent="0.25">
      <c r="A10" s="3">
        <v>7</v>
      </c>
      <c r="B10" s="4" t="s">
        <v>15</v>
      </c>
      <c r="C10" s="4" t="s">
        <v>6</v>
      </c>
      <c r="D10" s="4" t="s">
        <v>8</v>
      </c>
      <c r="E10" s="2">
        <v>88.65</v>
      </c>
      <c r="F10" s="2">
        <v>6.6</v>
      </c>
      <c r="G10" s="2">
        <v>3.5</v>
      </c>
      <c r="H10" s="2">
        <v>9.9</v>
      </c>
      <c r="I10" s="2">
        <v>82.75</v>
      </c>
      <c r="J10" s="2">
        <f t="shared" si="0"/>
        <v>95.25</v>
      </c>
      <c r="K10" s="26"/>
      <c r="L10" s="26"/>
      <c r="M10" s="2">
        <f t="shared" si="1"/>
        <v>108.65</v>
      </c>
    </row>
    <row r="11" spans="1:14" ht="60" x14ac:dyDescent="0.25">
      <c r="A11" s="3">
        <v>8</v>
      </c>
      <c r="B11" s="4" t="s">
        <v>15</v>
      </c>
      <c r="C11" s="4" t="s">
        <v>6</v>
      </c>
      <c r="D11" s="4" t="s">
        <v>8</v>
      </c>
      <c r="E11" s="2">
        <v>96.15</v>
      </c>
      <c r="F11" s="2">
        <v>6.35</v>
      </c>
      <c r="G11" s="2">
        <v>5.15</v>
      </c>
      <c r="H11" s="2">
        <v>9.9</v>
      </c>
      <c r="I11" s="2">
        <v>88.25</v>
      </c>
      <c r="J11" s="2">
        <f t="shared" si="0"/>
        <v>102.5</v>
      </c>
      <c r="K11" s="26"/>
      <c r="L11" s="26"/>
      <c r="M11" s="2">
        <f t="shared" si="1"/>
        <v>117.55000000000001</v>
      </c>
    </row>
    <row r="12" spans="1:14" ht="30" x14ac:dyDescent="0.25">
      <c r="A12" s="3">
        <v>9</v>
      </c>
      <c r="B12" s="4" t="s">
        <v>11</v>
      </c>
      <c r="C12" s="4" t="s">
        <v>13</v>
      </c>
      <c r="D12" s="4" t="s">
        <v>17</v>
      </c>
      <c r="E12" s="2">
        <v>47.1</v>
      </c>
      <c r="F12" s="2">
        <v>6.15</v>
      </c>
      <c r="G12" s="2"/>
      <c r="H12" s="2">
        <v>9.8000000000000007</v>
      </c>
      <c r="I12" s="2">
        <v>41.95</v>
      </c>
      <c r="J12" s="2">
        <f t="shared" si="0"/>
        <v>53.25</v>
      </c>
      <c r="K12" s="26"/>
      <c r="L12" s="26"/>
      <c r="M12" s="2">
        <f t="shared" si="1"/>
        <v>63.05</v>
      </c>
    </row>
    <row r="13" spans="1:14" ht="60" x14ac:dyDescent="0.25">
      <c r="A13" s="3">
        <v>10</v>
      </c>
      <c r="B13" s="4" t="s">
        <v>15</v>
      </c>
      <c r="C13" s="4" t="s">
        <v>26</v>
      </c>
      <c r="D13" s="4" t="s">
        <v>8</v>
      </c>
      <c r="E13" s="2">
        <v>80</v>
      </c>
      <c r="F13" s="2">
        <v>4.0999999999999996</v>
      </c>
      <c r="G13" s="2">
        <v>3.4</v>
      </c>
      <c r="H13" s="2">
        <v>9.9</v>
      </c>
      <c r="I13" s="2">
        <v>73.099999999999994</v>
      </c>
      <c r="J13" s="2">
        <f t="shared" si="0"/>
        <v>84.1</v>
      </c>
      <c r="K13" s="28" t="s">
        <v>22</v>
      </c>
      <c r="L13" s="28"/>
      <c r="M13" s="2" t="e">
        <f t="shared" si="1"/>
        <v>#VALUE!</v>
      </c>
      <c r="N13" s="7">
        <v>8750000</v>
      </c>
    </row>
    <row r="14" spans="1:14" ht="30" x14ac:dyDescent="0.25">
      <c r="A14" s="3">
        <v>11</v>
      </c>
      <c r="B14" s="4" t="s">
        <v>12</v>
      </c>
      <c r="C14" s="4" t="s">
        <v>13</v>
      </c>
      <c r="D14" s="4" t="s">
        <v>17</v>
      </c>
      <c r="E14" s="2">
        <v>47.4</v>
      </c>
      <c r="F14" s="2">
        <v>7.1</v>
      </c>
      <c r="G14" s="2"/>
      <c r="H14" s="2">
        <v>9.85</v>
      </c>
      <c r="I14" s="2">
        <v>42.65</v>
      </c>
      <c r="J14" s="2">
        <f t="shared" si="0"/>
        <v>54.5</v>
      </c>
      <c r="K14" s="26"/>
      <c r="L14" s="26"/>
      <c r="M14" s="2">
        <f t="shared" si="1"/>
        <v>64.349999999999994</v>
      </c>
    </row>
    <row r="15" spans="1:14" ht="30" x14ac:dyDescent="0.25">
      <c r="A15" s="3">
        <v>12</v>
      </c>
      <c r="B15" s="4" t="s">
        <v>12</v>
      </c>
      <c r="C15" s="4" t="s">
        <v>13</v>
      </c>
      <c r="D15" s="4" t="s">
        <v>17</v>
      </c>
      <c r="E15" s="2">
        <v>45.35</v>
      </c>
      <c r="F15" s="2">
        <v>7.2</v>
      </c>
      <c r="G15" s="2"/>
      <c r="H15" s="2">
        <v>9.8000000000000007</v>
      </c>
      <c r="I15" s="2">
        <v>41.3</v>
      </c>
      <c r="J15" s="2">
        <f t="shared" si="0"/>
        <v>52.550000000000004</v>
      </c>
      <c r="K15" s="26"/>
      <c r="L15" s="26"/>
      <c r="M15" s="2">
        <f t="shared" si="1"/>
        <v>62.350000000000009</v>
      </c>
    </row>
    <row r="16" spans="1:14" ht="30" x14ac:dyDescent="0.25">
      <c r="A16" s="3">
        <v>13</v>
      </c>
      <c r="B16" s="4" t="s">
        <v>12</v>
      </c>
      <c r="C16" s="4" t="s">
        <v>13</v>
      </c>
      <c r="D16" s="4" t="s">
        <v>18</v>
      </c>
      <c r="E16" s="2">
        <v>62.05</v>
      </c>
      <c r="F16" s="2">
        <v>7.2</v>
      </c>
      <c r="G16" s="2"/>
      <c r="H16" s="2">
        <v>9.85</v>
      </c>
      <c r="I16" s="2">
        <v>56.15</v>
      </c>
      <c r="J16" s="2">
        <f t="shared" si="0"/>
        <v>69.25</v>
      </c>
      <c r="K16" s="26"/>
      <c r="L16" s="26"/>
      <c r="M16" s="2">
        <f t="shared" si="1"/>
        <v>79.099999999999994</v>
      </c>
    </row>
    <row r="17" spans="1:14" ht="30" x14ac:dyDescent="0.25">
      <c r="A17" s="3">
        <v>14</v>
      </c>
      <c r="B17" s="4" t="s">
        <v>12</v>
      </c>
      <c r="C17" s="4" t="s">
        <v>13</v>
      </c>
      <c r="D17" s="4" t="s">
        <v>17</v>
      </c>
      <c r="E17" s="2">
        <v>47.55</v>
      </c>
      <c r="F17" s="2">
        <v>7.5</v>
      </c>
      <c r="G17" s="2"/>
      <c r="H17" s="2">
        <v>9.85</v>
      </c>
      <c r="I17" s="2">
        <v>43.15</v>
      </c>
      <c r="J17" s="2">
        <f t="shared" si="0"/>
        <v>55.05</v>
      </c>
      <c r="K17" s="29" t="s">
        <v>22</v>
      </c>
      <c r="L17" s="29"/>
      <c r="M17" s="2" t="e">
        <f t="shared" si="1"/>
        <v>#VALUE!</v>
      </c>
      <c r="N17" s="7">
        <v>5250000</v>
      </c>
    </row>
    <row r="18" spans="1:14" ht="30" x14ac:dyDescent="0.25">
      <c r="A18" s="3">
        <v>15</v>
      </c>
      <c r="B18" s="4" t="s">
        <v>12</v>
      </c>
      <c r="C18" s="4" t="s">
        <v>13</v>
      </c>
      <c r="D18" s="4" t="s">
        <v>17</v>
      </c>
      <c r="E18" s="2">
        <v>48.1</v>
      </c>
      <c r="F18" s="2">
        <v>7.8</v>
      </c>
      <c r="G18" s="2"/>
      <c r="H18" s="2">
        <v>9.85</v>
      </c>
      <c r="I18" s="2">
        <v>43.7</v>
      </c>
      <c r="J18" s="2">
        <f t="shared" si="0"/>
        <v>55.9</v>
      </c>
      <c r="K18" s="26"/>
      <c r="L18" s="26"/>
      <c r="M18" s="2">
        <f t="shared" si="1"/>
        <v>65.75</v>
      </c>
    </row>
    <row r="19" spans="1:14" ht="30" x14ac:dyDescent="0.25">
      <c r="A19" s="3">
        <v>16</v>
      </c>
      <c r="B19" s="4" t="s">
        <v>12</v>
      </c>
      <c r="C19" s="4" t="s">
        <v>13</v>
      </c>
      <c r="D19" s="4" t="s">
        <v>17</v>
      </c>
      <c r="E19" s="2">
        <v>47.9</v>
      </c>
      <c r="F19" s="2">
        <v>7.8</v>
      </c>
      <c r="G19" s="2"/>
      <c r="H19" s="2">
        <v>9.85</v>
      </c>
      <c r="I19" s="2">
        <v>44.05</v>
      </c>
      <c r="J19" s="2">
        <f t="shared" si="0"/>
        <v>55.699999999999996</v>
      </c>
      <c r="K19" s="26"/>
      <c r="L19" s="26"/>
      <c r="M19" s="2">
        <f t="shared" si="1"/>
        <v>65.55</v>
      </c>
    </row>
    <row r="20" spans="1:14" ht="30" x14ac:dyDescent="0.25">
      <c r="A20" s="3">
        <v>17</v>
      </c>
      <c r="B20" s="4" t="s">
        <v>12</v>
      </c>
      <c r="C20" s="4" t="s">
        <v>13</v>
      </c>
      <c r="D20" s="4" t="s">
        <v>17</v>
      </c>
      <c r="E20" s="2">
        <v>47.7</v>
      </c>
      <c r="F20" s="2">
        <v>7.5</v>
      </c>
      <c r="G20" s="2"/>
      <c r="H20" s="2">
        <v>9.85</v>
      </c>
      <c r="I20" s="2">
        <v>43.8</v>
      </c>
      <c r="J20" s="2">
        <f t="shared" si="0"/>
        <v>55.2</v>
      </c>
      <c r="K20" s="26"/>
      <c r="L20" s="26"/>
      <c r="M20" s="2">
        <f>+E20+F20+G20+K20+H20</f>
        <v>65.05</v>
      </c>
    </row>
    <row r="21" spans="1:14" ht="30" x14ac:dyDescent="0.25">
      <c r="A21" s="3">
        <v>18</v>
      </c>
      <c r="B21" s="4" t="s">
        <v>12</v>
      </c>
      <c r="C21" s="4" t="s">
        <v>13</v>
      </c>
      <c r="D21" s="4" t="s">
        <v>18</v>
      </c>
      <c r="E21" s="2">
        <v>62.05</v>
      </c>
      <c r="F21" s="2">
        <v>7.2</v>
      </c>
      <c r="G21" s="2"/>
      <c r="H21" s="2">
        <v>9.85</v>
      </c>
      <c r="I21" s="2">
        <v>56.15</v>
      </c>
      <c r="J21" s="2">
        <f>E21+F21</f>
        <v>69.25</v>
      </c>
      <c r="K21" s="26"/>
      <c r="L21" s="26"/>
      <c r="M21" s="2">
        <f>+E21+F21+G21+K21+H21</f>
        <v>79.099999999999994</v>
      </c>
    </row>
    <row r="22" spans="1:14" ht="30" x14ac:dyDescent="0.25">
      <c r="A22" s="3">
        <v>19</v>
      </c>
      <c r="B22" s="4" t="s">
        <v>12</v>
      </c>
      <c r="C22" s="4" t="s">
        <v>13</v>
      </c>
      <c r="D22" s="4" t="s">
        <v>17</v>
      </c>
      <c r="E22" s="2">
        <v>45.5</v>
      </c>
      <c r="F22" s="2">
        <v>7</v>
      </c>
      <c r="G22" s="2"/>
      <c r="H22" s="2">
        <v>9.8000000000000007</v>
      </c>
      <c r="I22" s="2">
        <v>41.65</v>
      </c>
      <c r="J22" s="2">
        <f>E22+F22</f>
        <v>52.5</v>
      </c>
      <c r="K22" s="29" t="s">
        <v>22</v>
      </c>
      <c r="L22" s="29"/>
      <c r="M22" s="2" t="e">
        <f>+E22+F22+G22+K22+H22</f>
        <v>#VALUE!</v>
      </c>
      <c r="N22" s="7">
        <v>5000000</v>
      </c>
    </row>
    <row r="23" spans="1:14" ht="30" x14ac:dyDescent="0.25">
      <c r="A23" s="3">
        <v>20</v>
      </c>
      <c r="B23" s="4" t="s">
        <v>12</v>
      </c>
      <c r="C23" s="4" t="s">
        <v>13</v>
      </c>
      <c r="D23" s="4" t="s">
        <v>17</v>
      </c>
      <c r="E23" s="2">
        <v>47.3</v>
      </c>
      <c r="F23" s="2">
        <v>7.1</v>
      </c>
      <c r="G23" s="2"/>
      <c r="H23" s="2">
        <v>9.8000000000000007</v>
      </c>
      <c r="I23" s="2">
        <v>42.9</v>
      </c>
      <c r="J23" s="2">
        <f>E23+F23</f>
        <v>54.4</v>
      </c>
      <c r="K23" s="29" t="s">
        <v>22</v>
      </c>
      <c r="L23" s="29"/>
      <c r="M23" s="2" t="e">
        <f>+E23+F23+G23+K23+H23</f>
        <v>#VALUE!</v>
      </c>
      <c r="N23" s="7">
        <v>5000000</v>
      </c>
    </row>
    <row r="24" spans="1:14" ht="21" x14ac:dyDescent="0.25">
      <c r="A24" s="1"/>
      <c r="B24" s="1"/>
      <c r="C24" s="1"/>
      <c r="D24" s="1"/>
      <c r="E24" s="5">
        <f t="shared" ref="E24:H24" si="2">SUM(E4:E23)</f>
        <v>1384.05</v>
      </c>
      <c r="F24" s="5">
        <f t="shared" si="2"/>
        <v>135.20000000000002</v>
      </c>
      <c r="G24" s="5">
        <f t="shared" si="2"/>
        <v>35.5</v>
      </c>
      <c r="H24" s="5">
        <f t="shared" si="2"/>
        <v>197.25</v>
      </c>
      <c r="I24" s="5"/>
      <c r="J24" s="5"/>
      <c r="K24" s="26"/>
      <c r="L24" s="26"/>
      <c r="M24" s="5" t="e">
        <f>SUM(M4:M23)</f>
        <v>#VALUE!</v>
      </c>
    </row>
  </sheetData>
  <mergeCells count="35">
    <mergeCell ref="K24:L24"/>
    <mergeCell ref="K18:L18"/>
    <mergeCell ref="K19:L19"/>
    <mergeCell ref="K20:L20"/>
    <mergeCell ref="K21:L21"/>
    <mergeCell ref="K22:L22"/>
    <mergeCell ref="K23:L23"/>
    <mergeCell ref="K17:L17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5:L5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K3:L3"/>
    <mergeCell ref="K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69B-3B91-4B91-8FBC-D892B0F9E42C}">
  <dimension ref="A1:O22"/>
  <sheetViews>
    <sheetView zoomScaleNormal="100" workbookViewId="0">
      <selection activeCell="A2" sqref="A2:O21"/>
    </sheetView>
  </sheetViews>
  <sheetFormatPr defaultColWidth="8.85546875" defaultRowHeight="15" x14ac:dyDescent="0.25"/>
  <cols>
    <col min="5" max="5" width="15.28515625" customWidth="1"/>
    <col min="6" max="6" width="12.42578125" customWidth="1"/>
    <col min="7" max="7" width="14.42578125" customWidth="1"/>
    <col min="8" max="8" width="12.7109375" customWidth="1"/>
    <col min="9" max="9" width="11.42578125" customWidth="1"/>
    <col min="10" max="10" width="11.140625" customWidth="1"/>
    <col min="12" max="12" width="15.7109375" customWidth="1"/>
    <col min="13" max="13" width="17.140625" customWidth="1"/>
    <col min="14" max="14" width="10.140625" bestFit="1" customWidth="1"/>
  </cols>
  <sheetData>
    <row r="1" spans="1:15" ht="46.5" x14ac:dyDescent="0.25">
      <c r="A1" s="31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5" ht="21" x14ac:dyDescent="0.25">
      <c r="A2" s="30" t="s">
        <v>4</v>
      </c>
      <c r="B2" s="30" t="s">
        <v>5</v>
      </c>
      <c r="C2" s="30" t="s">
        <v>1</v>
      </c>
      <c r="D2" s="30" t="s">
        <v>7</v>
      </c>
      <c r="E2" s="30" t="s">
        <v>2</v>
      </c>
      <c r="F2" s="30" t="s">
        <v>16</v>
      </c>
      <c r="G2" s="30" t="s">
        <v>9</v>
      </c>
      <c r="H2" s="30" t="s">
        <v>14</v>
      </c>
      <c r="I2" s="30" t="s">
        <v>3</v>
      </c>
      <c r="J2" s="30" t="s">
        <v>10</v>
      </c>
      <c r="K2" s="26" t="s">
        <v>20</v>
      </c>
      <c r="L2" s="26"/>
      <c r="M2" s="34" t="s">
        <v>0</v>
      </c>
    </row>
    <row r="3" spans="1:15" ht="21" x14ac:dyDescent="0.25">
      <c r="A3" s="30"/>
      <c r="B3" s="30"/>
      <c r="C3" s="30"/>
      <c r="D3" s="30"/>
      <c r="E3" s="30"/>
      <c r="F3" s="30"/>
      <c r="G3" s="30"/>
      <c r="H3" s="30"/>
      <c r="I3" s="34"/>
      <c r="J3" s="34"/>
      <c r="K3" s="26" t="s">
        <v>21</v>
      </c>
      <c r="L3" s="26"/>
      <c r="M3" s="34"/>
    </row>
    <row r="4" spans="1:15" ht="30" x14ac:dyDescent="0.25">
      <c r="A4" s="3">
        <v>1</v>
      </c>
      <c r="B4" s="4" t="s">
        <v>11</v>
      </c>
      <c r="C4" s="4" t="s">
        <v>13</v>
      </c>
      <c r="D4" s="4" t="s">
        <v>18</v>
      </c>
      <c r="E4" s="2">
        <v>60.05</v>
      </c>
      <c r="F4" s="2">
        <v>6.45</v>
      </c>
      <c r="G4" s="2"/>
      <c r="H4" s="2">
        <v>20.85</v>
      </c>
      <c r="I4" s="2">
        <v>52.9</v>
      </c>
      <c r="J4" s="2">
        <f>E4+F4</f>
        <v>66.5</v>
      </c>
      <c r="K4" s="26"/>
      <c r="L4" s="26"/>
      <c r="M4" s="2">
        <f t="shared" ref="M4:M18" si="0">+E4+F4+G4+K4+H4</f>
        <v>87.35</v>
      </c>
    </row>
    <row r="5" spans="1:15" ht="30" x14ac:dyDescent="0.25">
      <c r="A5" s="3">
        <v>2</v>
      </c>
      <c r="B5" s="4" t="s">
        <v>11</v>
      </c>
      <c r="C5" s="4" t="s">
        <v>13</v>
      </c>
      <c r="D5" s="4" t="s">
        <v>17</v>
      </c>
      <c r="E5" s="2">
        <v>44.2</v>
      </c>
      <c r="F5" s="2">
        <v>6.25</v>
      </c>
      <c r="G5" s="2"/>
      <c r="H5" s="2">
        <v>20.85</v>
      </c>
      <c r="I5" s="2">
        <v>39.1</v>
      </c>
      <c r="J5" s="2">
        <f t="shared" ref="J5:J19" si="1">E5+F5</f>
        <v>50.45</v>
      </c>
      <c r="K5" s="35" t="s">
        <v>22</v>
      </c>
      <c r="L5" s="35"/>
      <c r="M5" s="2" t="e">
        <f t="shared" si="0"/>
        <v>#VALUE!</v>
      </c>
      <c r="N5" s="7">
        <v>5000000</v>
      </c>
    </row>
    <row r="6" spans="1:15" ht="60" x14ac:dyDescent="0.25">
      <c r="A6" s="3">
        <v>3</v>
      </c>
      <c r="B6" s="4" t="s">
        <v>15</v>
      </c>
      <c r="C6" s="4" t="s">
        <v>6</v>
      </c>
      <c r="D6" s="4" t="s">
        <v>8</v>
      </c>
      <c r="E6" s="2">
        <v>87.45</v>
      </c>
      <c r="F6" s="2">
        <v>6.15</v>
      </c>
      <c r="G6" s="2">
        <v>4.75</v>
      </c>
      <c r="H6" s="2">
        <v>20.85</v>
      </c>
      <c r="I6" s="2">
        <v>80</v>
      </c>
      <c r="J6" s="2">
        <f t="shared" si="1"/>
        <v>93.600000000000009</v>
      </c>
      <c r="K6" s="26"/>
      <c r="L6" s="26"/>
      <c r="M6" s="2">
        <f t="shared" si="0"/>
        <v>119.20000000000002</v>
      </c>
    </row>
    <row r="7" spans="1:15" ht="60" x14ac:dyDescent="0.25">
      <c r="A7" s="3">
        <v>4</v>
      </c>
      <c r="B7" s="4" t="s">
        <v>15</v>
      </c>
      <c r="C7" s="4" t="s">
        <v>6</v>
      </c>
      <c r="D7" s="4" t="s">
        <v>8</v>
      </c>
      <c r="E7" s="2">
        <v>80.900000000000006</v>
      </c>
      <c r="F7" s="2">
        <v>5.85</v>
      </c>
      <c r="G7" s="2">
        <v>3.5</v>
      </c>
      <c r="H7" s="2">
        <v>20.9</v>
      </c>
      <c r="I7" s="2">
        <v>75.8</v>
      </c>
      <c r="J7" s="2">
        <f t="shared" si="1"/>
        <v>86.75</v>
      </c>
      <c r="K7" s="26"/>
      <c r="L7" s="26"/>
      <c r="M7" s="2">
        <f t="shared" si="0"/>
        <v>111.15</v>
      </c>
    </row>
    <row r="8" spans="1:15" ht="60" x14ac:dyDescent="0.25">
      <c r="A8" s="3">
        <v>5</v>
      </c>
      <c r="B8" s="4" t="s">
        <v>15</v>
      </c>
      <c r="C8" s="4" t="s">
        <v>6</v>
      </c>
      <c r="D8" s="4" t="s">
        <v>24</v>
      </c>
      <c r="E8" s="2">
        <v>115.3</v>
      </c>
      <c r="F8" s="2">
        <v>6.05</v>
      </c>
      <c r="G8" s="2">
        <v>3.55</v>
      </c>
      <c r="H8" s="2">
        <v>20.9</v>
      </c>
      <c r="I8" s="2">
        <v>106.05</v>
      </c>
      <c r="J8" s="2">
        <f t="shared" si="1"/>
        <v>121.35</v>
      </c>
      <c r="K8" s="29" t="s">
        <v>22</v>
      </c>
      <c r="L8" s="29"/>
      <c r="M8" s="2" t="e">
        <f t="shared" si="0"/>
        <v>#VALUE!</v>
      </c>
      <c r="N8" s="7">
        <v>10500000</v>
      </c>
    </row>
    <row r="9" spans="1:15" ht="60" x14ac:dyDescent="0.25">
      <c r="A9" s="3">
        <v>6</v>
      </c>
      <c r="B9" s="4" t="s">
        <v>15</v>
      </c>
      <c r="C9" s="4" t="s">
        <v>6</v>
      </c>
      <c r="D9" s="4" t="s">
        <v>24</v>
      </c>
      <c r="E9" s="2">
        <v>115.55</v>
      </c>
      <c r="F9" s="2">
        <v>6.1</v>
      </c>
      <c r="G9" s="2">
        <v>3.55</v>
      </c>
      <c r="H9" s="2">
        <v>20.9</v>
      </c>
      <c r="I9" s="2">
        <v>107.1</v>
      </c>
      <c r="J9" s="2">
        <f t="shared" si="1"/>
        <v>121.64999999999999</v>
      </c>
      <c r="K9" s="35" t="s">
        <v>22</v>
      </c>
      <c r="L9" s="35"/>
      <c r="M9" s="2" t="e">
        <f t="shared" si="0"/>
        <v>#VALUE!</v>
      </c>
      <c r="N9" s="7">
        <v>10000000</v>
      </c>
    </row>
    <row r="10" spans="1:15" ht="60" x14ac:dyDescent="0.25">
      <c r="A10" s="3">
        <v>7</v>
      </c>
      <c r="B10" s="4" t="s">
        <v>15</v>
      </c>
      <c r="C10" s="4" t="s">
        <v>6</v>
      </c>
      <c r="D10" s="4" t="s">
        <v>8</v>
      </c>
      <c r="E10" s="2">
        <v>115.05</v>
      </c>
      <c r="F10" s="2">
        <v>4.3499999999999996</v>
      </c>
      <c r="G10" s="2">
        <v>3.8</v>
      </c>
      <c r="H10" s="2">
        <v>20.9</v>
      </c>
      <c r="I10" s="2">
        <v>106.6</v>
      </c>
      <c r="J10" s="2">
        <f t="shared" si="1"/>
        <v>119.39999999999999</v>
      </c>
      <c r="K10" s="35" t="s">
        <v>22</v>
      </c>
      <c r="L10" s="35"/>
      <c r="M10" s="2" t="e">
        <f t="shared" si="0"/>
        <v>#VALUE!</v>
      </c>
      <c r="N10" s="7">
        <v>9250000</v>
      </c>
    </row>
    <row r="11" spans="1:15" ht="30" x14ac:dyDescent="0.25">
      <c r="A11" s="3">
        <v>8</v>
      </c>
      <c r="B11" s="4" t="s">
        <v>11</v>
      </c>
      <c r="C11" s="4" t="s">
        <v>13</v>
      </c>
      <c r="D11" s="4" t="s">
        <v>17</v>
      </c>
      <c r="E11" s="2">
        <v>49.95</v>
      </c>
      <c r="F11" s="2">
        <v>4.3499999999999996</v>
      </c>
      <c r="G11" s="2"/>
      <c r="H11" s="2">
        <v>20.85</v>
      </c>
      <c r="I11" s="2">
        <v>44.5</v>
      </c>
      <c r="J11" s="2">
        <f t="shared" si="1"/>
        <v>54.300000000000004</v>
      </c>
      <c r="K11" s="26"/>
      <c r="L11" s="26"/>
      <c r="M11" s="2">
        <f t="shared" si="0"/>
        <v>75.150000000000006</v>
      </c>
    </row>
    <row r="12" spans="1:15" ht="30" x14ac:dyDescent="0.25">
      <c r="A12" s="3">
        <v>9</v>
      </c>
      <c r="B12" s="4" t="s">
        <v>11</v>
      </c>
      <c r="C12" s="4" t="s">
        <v>13</v>
      </c>
      <c r="D12" s="4" t="s">
        <v>18</v>
      </c>
      <c r="E12" s="2">
        <v>60.75</v>
      </c>
      <c r="F12" s="2">
        <v>6.65</v>
      </c>
      <c r="G12" s="2"/>
      <c r="H12" s="2">
        <v>20.85</v>
      </c>
      <c r="I12" s="2">
        <v>53.45</v>
      </c>
      <c r="J12" s="2">
        <f t="shared" si="1"/>
        <v>67.400000000000006</v>
      </c>
      <c r="K12" s="26"/>
      <c r="L12" s="26"/>
      <c r="M12" s="2">
        <f t="shared" si="0"/>
        <v>88.25</v>
      </c>
    </row>
    <row r="13" spans="1:15" ht="30" x14ac:dyDescent="0.25">
      <c r="A13" s="3">
        <v>10</v>
      </c>
      <c r="B13" s="4" t="s">
        <v>12</v>
      </c>
      <c r="C13" s="4" t="s">
        <v>13</v>
      </c>
      <c r="D13" s="4" t="s">
        <v>18</v>
      </c>
      <c r="E13" s="2">
        <v>60.1</v>
      </c>
      <c r="F13" s="2">
        <v>6.45</v>
      </c>
      <c r="G13" s="2"/>
      <c r="H13" s="2">
        <v>20.85</v>
      </c>
      <c r="I13" s="2">
        <v>52.95</v>
      </c>
      <c r="J13" s="2">
        <f t="shared" si="1"/>
        <v>66.55</v>
      </c>
      <c r="K13" s="26"/>
      <c r="L13" s="26"/>
      <c r="M13" s="2">
        <f t="shared" si="0"/>
        <v>87.4</v>
      </c>
    </row>
    <row r="14" spans="1:15" ht="30" x14ac:dyDescent="0.25">
      <c r="A14" s="3">
        <v>11</v>
      </c>
      <c r="B14" s="4" t="s">
        <v>12</v>
      </c>
      <c r="C14" s="4" t="s">
        <v>13</v>
      </c>
      <c r="D14" s="4" t="s">
        <v>17</v>
      </c>
      <c r="E14" s="2">
        <v>44.2</v>
      </c>
      <c r="F14" s="2">
        <v>6.25</v>
      </c>
      <c r="G14" s="2"/>
      <c r="H14" s="2">
        <v>20.85</v>
      </c>
      <c r="I14" s="2">
        <v>39.1</v>
      </c>
      <c r="J14" s="2">
        <f t="shared" si="1"/>
        <v>50.45</v>
      </c>
      <c r="K14" s="26"/>
      <c r="L14" s="26"/>
      <c r="M14" s="2">
        <f t="shared" si="0"/>
        <v>71.300000000000011</v>
      </c>
    </row>
    <row r="15" spans="1:15" ht="30" x14ac:dyDescent="0.25">
      <c r="A15" s="3">
        <v>12</v>
      </c>
      <c r="B15" s="4" t="s">
        <v>12</v>
      </c>
      <c r="C15" s="4" t="s">
        <v>13</v>
      </c>
      <c r="D15" s="4" t="s">
        <v>18</v>
      </c>
      <c r="E15" s="2">
        <v>60.75</v>
      </c>
      <c r="F15" s="2">
        <v>6.2</v>
      </c>
      <c r="G15" s="2"/>
      <c r="H15" s="2">
        <v>20.85</v>
      </c>
      <c r="I15" s="2">
        <v>54.1</v>
      </c>
      <c r="J15" s="2">
        <f t="shared" si="1"/>
        <v>66.95</v>
      </c>
      <c r="K15" s="26"/>
      <c r="L15" s="26"/>
      <c r="M15" s="2">
        <f t="shared" si="0"/>
        <v>87.800000000000011</v>
      </c>
    </row>
    <row r="16" spans="1:15" ht="30" x14ac:dyDescent="0.25">
      <c r="A16" s="3">
        <v>13</v>
      </c>
      <c r="B16" s="4" t="s">
        <v>12</v>
      </c>
      <c r="C16" s="4" t="s">
        <v>13</v>
      </c>
      <c r="D16" s="4" t="s">
        <v>17</v>
      </c>
      <c r="E16" s="2">
        <v>44.6</v>
      </c>
      <c r="F16" s="2">
        <v>5.9</v>
      </c>
      <c r="G16" s="2"/>
      <c r="H16" s="2">
        <v>20.85</v>
      </c>
      <c r="I16" s="2">
        <v>39.5</v>
      </c>
      <c r="J16" s="2">
        <f t="shared" si="1"/>
        <v>50.5</v>
      </c>
      <c r="K16" s="26"/>
      <c r="L16" s="26"/>
      <c r="M16" s="2">
        <f t="shared" si="0"/>
        <v>71.349999999999994</v>
      </c>
      <c r="N16" s="7">
        <v>5750000</v>
      </c>
      <c r="O16" t="s">
        <v>30</v>
      </c>
    </row>
    <row r="17" spans="1:13" ht="30" x14ac:dyDescent="0.25">
      <c r="A17" s="3">
        <v>14</v>
      </c>
      <c r="B17" s="4" t="s">
        <v>12</v>
      </c>
      <c r="C17" s="4" t="s">
        <v>13</v>
      </c>
      <c r="D17" s="4" t="s">
        <v>18</v>
      </c>
      <c r="E17" s="2">
        <v>62.95</v>
      </c>
      <c r="F17" s="2">
        <v>6.85</v>
      </c>
      <c r="G17" s="2"/>
      <c r="H17" s="2">
        <v>20.85</v>
      </c>
      <c r="I17" s="2">
        <v>55.85</v>
      </c>
      <c r="J17" s="2">
        <f t="shared" si="1"/>
        <v>69.8</v>
      </c>
      <c r="K17" s="26"/>
      <c r="L17" s="26"/>
      <c r="M17" s="2">
        <f t="shared" si="0"/>
        <v>90.65</v>
      </c>
    </row>
    <row r="18" spans="1:13" ht="30" x14ac:dyDescent="0.25">
      <c r="A18" s="3">
        <v>15</v>
      </c>
      <c r="B18" s="4" t="s">
        <v>12</v>
      </c>
      <c r="C18" s="4" t="s">
        <v>13</v>
      </c>
      <c r="D18" s="4" t="s">
        <v>18</v>
      </c>
      <c r="E18" s="2">
        <v>63.1</v>
      </c>
      <c r="F18" s="2">
        <v>6.85</v>
      </c>
      <c r="G18" s="2"/>
      <c r="H18" s="2">
        <v>20.85</v>
      </c>
      <c r="I18" s="2">
        <v>56.35</v>
      </c>
      <c r="J18" s="2">
        <f t="shared" si="1"/>
        <v>69.95</v>
      </c>
      <c r="K18" s="26"/>
      <c r="L18" s="26"/>
      <c r="M18" s="2">
        <f t="shared" si="0"/>
        <v>90.800000000000011</v>
      </c>
    </row>
    <row r="19" spans="1:13" ht="30" x14ac:dyDescent="0.25">
      <c r="A19" s="3">
        <v>16</v>
      </c>
      <c r="B19" s="4" t="s">
        <v>12</v>
      </c>
      <c r="C19" s="4" t="s">
        <v>13</v>
      </c>
      <c r="D19" s="4" t="s">
        <v>18</v>
      </c>
      <c r="E19" s="2">
        <v>63.2</v>
      </c>
      <c r="F19" s="2">
        <v>4.3499999999999996</v>
      </c>
      <c r="G19" s="2"/>
      <c r="H19" s="2">
        <v>20.85</v>
      </c>
      <c r="I19" s="2">
        <v>56.95</v>
      </c>
      <c r="J19" s="2">
        <f t="shared" si="1"/>
        <v>67.55</v>
      </c>
      <c r="K19" s="26"/>
      <c r="L19" s="26"/>
      <c r="M19" s="2">
        <f>+E19+F19+G19+K19+H19</f>
        <v>88.4</v>
      </c>
    </row>
    <row r="20" spans="1:13" ht="30" x14ac:dyDescent="0.25">
      <c r="A20" s="3">
        <v>17</v>
      </c>
      <c r="B20" s="4" t="s">
        <v>12</v>
      </c>
      <c r="C20" s="4" t="s">
        <v>13</v>
      </c>
      <c r="D20" s="4" t="s">
        <v>18</v>
      </c>
      <c r="E20" s="2">
        <v>63.2</v>
      </c>
      <c r="F20" s="2">
        <v>4.3499999999999996</v>
      </c>
      <c r="G20" s="2"/>
      <c r="H20" s="2">
        <v>20.85</v>
      </c>
      <c r="I20" s="2">
        <v>56.95</v>
      </c>
      <c r="J20" s="2">
        <f>E20+F20</f>
        <v>67.55</v>
      </c>
      <c r="K20" s="26"/>
      <c r="L20" s="26"/>
      <c r="M20" s="2">
        <f>+E20+F20+G20+K20+H20</f>
        <v>88.4</v>
      </c>
    </row>
    <row r="21" spans="1:13" ht="30" x14ac:dyDescent="0.25">
      <c r="A21" s="3">
        <v>18</v>
      </c>
      <c r="B21" s="4" t="s">
        <v>12</v>
      </c>
      <c r="C21" s="4" t="s">
        <v>13</v>
      </c>
      <c r="D21" s="4" t="s">
        <v>18</v>
      </c>
      <c r="E21" s="2">
        <v>59.8</v>
      </c>
      <c r="F21" s="2">
        <v>6.85</v>
      </c>
      <c r="G21" s="2"/>
      <c r="H21" s="2">
        <v>20.85</v>
      </c>
      <c r="I21" s="2">
        <v>53.05</v>
      </c>
      <c r="J21" s="2">
        <f>E21+F21</f>
        <v>66.649999999999991</v>
      </c>
      <c r="K21" s="26"/>
      <c r="L21" s="26"/>
      <c r="M21" s="2">
        <f>+E21+F21+G21+K21+H21</f>
        <v>87.5</v>
      </c>
    </row>
    <row r="22" spans="1:13" ht="21" x14ac:dyDescent="0.25">
      <c r="A22" s="1"/>
      <c r="B22" s="1"/>
      <c r="C22" s="1"/>
      <c r="D22" s="1"/>
      <c r="E22" s="5">
        <f>SUM(E4:E21)</f>
        <v>1251.1000000000001</v>
      </c>
      <c r="F22" s="5">
        <f>SUM(F4:F21)</f>
        <v>106.24999999999999</v>
      </c>
      <c r="G22" s="5">
        <f>SUM(G4:G21)</f>
        <v>19.150000000000002</v>
      </c>
      <c r="H22" s="5">
        <f>SUM(H4:H21)</f>
        <v>375.50000000000011</v>
      </c>
      <c r="I22" s="5"/>
      <c r="J22" s="5"/>
      <c r="K22" s="26"/>
      <c r="L22" s="26"/>
      <c r="M22" s="5" t="e">
        <f>SUM(M4:M21)</f>
        <v>#VALUE!</v>
      </c>
    </row>
  </sheetData>
  <mergeCells count="33">
    <mergeCell ref="K18:L18"/>
    <mergeCell ref="K19:L19"/>
    <mergeCell ref="K20:L20"/>
    <mergeCell ref="K21:L21"/>
    <mergeCell ref="K22:L22"/>
    <mergeCell ref="K17:L17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5:L5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K3:L3"/>
    <mergeCell ref="K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1A07-CB8B-42F8-84FF-ACCB34BF6ECC}">
  <dimension ref="A1:O24"/>
  <sheetViews>
    <sheetView zoomScaleNormal="100" workbookViewId="0">
      <selection activeCell="A4" sqref="A4:O23"/>
    </sheetView>
  </sheetViews>
  <sheetFormatPr defaultColWidth="8.85546875" defaultRowHeight="15" x14ac:dyDescent="0.25"/>
  <cols>
    <col min="5" max="5" width="15" customWidth="1"/>
    <col min="6" max="6" width="13" customWidth="1"/>
    <col min="7" max="7" width="13.85546875" customWidth="1"/>
    <col min="8" max="8" width="14.42578125" customWidth="1"/>
    <col min="10" max="10" width="15.85546875" customWidth="1"/>
    <col min="12" max="12" width="17.85546875" customWidth="1"/>
    <col min="13" max="13" width="16.85546875" customWidth="1"/>
    <col min="14" max="14" width="10.85546875" bestFit="1" customWidth="1"/>
  </cols>
  <sheetData>
    <row r="1" spans="1:15" ht="46.5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5" ht="21" x14ac:dyDescent="0.25">
      <c r="A2" s="30" t="s">
        <v>4</v>
      </c>
      <c r="B2" s="30" t="s">
        <v>5</v>
      </c>
      <c r="C2" s="30" t="s">
        <v>1</v>
      </c>
      <c r="D2" s="30" t="s">
        <v>7</v>
      </c>
      <c r="E2" s="30" t="s">
        <v>2</v>
      </c>
      <c r="F2" s="30" t="s">
        <v>16</v>
      </c>
      <c r="G2" s="30" t="s">
        <v>9</v>
      </c>
      <c r="H2" s="30" t="s">
        <v>14</v>
      </c>
      <c r="I2" s="30" t="s">
        <v>3</v>
      </c>
      <c r="J2" s="30" t="s">
        <v>10</v>
      </c>
      <c r="K2" s="26" t="s">
        <v>20</v>
      </c>
      <c r="L2" s="26"/>
      <c r="M2" s="34" t="s">
        <v>0</v>
      </c>
    </row>
    <row r="3" spans="1:15" ht="21" x14ac:dyDescent="0.25">
      <c r="A3" s="30"/>
      <c r="B3" s="30"/>
      <c r="C3" s="30"/>
      <c r="D3" s="30"/>
      <c r="E3" s="30"/>
      <c r="F3" s="30"/>
      <c r="G3" s="30"/>
      <c r="H3" s="30"/>
      <c r="I3" s="34"/>
      <c r="J3" s="34"/>
      <c r="K3" s="26" t="s">
        <v>21</v>
      </c>
      <c r="L3" s="26"/>
      <c r="M3" s="34"/>
    </row>
    <row r="4" spans="1:15" ht="30" x14ac:dyDescent="0.25">
      <c r="A4" s="3">
        <v>1</v>
      </c>
      <c r="B4" s="4" t="s">
        <v>11</v>
      </c>
      <c r="C4" s="4" t="s">
        <v>13</v>
      </c>
      <c r="D4" s="4" t="s">
        <v>17</v>
      </c>
      <c r="E4" s="2">
        <v>47.8</v>
      </c>
      <c r="F4" s="2">
        <v>7.2</v>
      </c>
      <c r="G4" s="2"/>
      <c r="H4" s="2">
        <v>18.55</v>
      </c>
      <c r="I4" s="2">
        <v>42.2</v>
      </c>
      <c r="J4" s="2">
        <f t="shared" ref="J4:J20" si="0">E4+F4</f>
        <v>55</v>
      </c>
      <c r="K4" s="26"/>
      <c r="L4" s="26"/>
      <c r="M4" s="2">
        <f t="shared" ref="M4:M19" si="1">+E4+F4+G4+K4+H4</f>
        <v>73.55</v>
      </c>
    </row>
    <row r="5" spans="1:15" ht="30" x14ac:dyDescent="0.25">
      <c r="A5" s="3">
        <v>2</v>
      </c>
      <c r="B5" s="4" t="s">
        <v>11</v>
      </c>
      <c r="C5" s="4" t="s">
        <v>13</v>
      </c>
      <c r="D5" s="4" t="s">
        <v>17</v>
      </c>
      <c r="E5" s="2">
        <v>46.7</v>
      </c>
      <c r="F5" s="2">
        <v>7.2</v>
      </c>
      <c r="G5" s="2"/>
      <c r="H5" s="2">
        <v>18.55</v>
      </c>
      <c r="I5" s="2">
        <v>41.45</v>
      </c>
      <c r="J5" s="2">
        <f t="shared" si="0"/>
        <v>53.900000000000006</v>
      </c>
      <c r="K5" s="26"/>
      <c r="L5" s="26"/>
      <c r="M5" s="2">
        <f t="shared" si="1"/>
        <v>72.45</v>
      </c>
    </row>
    <row r="6" spans="1:15" ht="60" x14ac:dyDescent="0.25">
      <c r="A6" s="3">
        <v>3</v>
      </c>
      <c r="B6" s="4" t="s">
        <v>15</v>
      </c>
      <c r="C6" s="4" t="s">
        <v>6</v>
      </c>
      <c r="D6" s="4" t="s">
        <v>8</v>
      </c>
      <c r="E6" s="2">
        <v>98.7</v>
      </c>
      <c r="F6" s="2">
        <v>6.35</v>
      </c>
      <c r="G6" s="2">
        <v>5.15</v>
      </c>
      <c r="H6" s="2">
        <v>18.649999999999999</v>
      </c>
      <c r="I6" s="2">
        <v>91.9</v>
      </c>
      <c r="J6" s="2">
        <f t="shared" si="0"/>
        <v>105.05</v>
      </c>
      <c r="K6" s="26"/>
      <c r="L6" s="26"/>
      <c r="M6" s="2">
        <f t="shared" si="1"/>
        <v>128.85</v>
      </c>
    </row>
    <row r="7" spans="1:15" ht="60" x14ac:dyDescent="0.25">
      <c r="A7" s="3">
        <v>4</v>
      </c>
      <c r="B7" s="4" t="s">
        <v>15</v>
      </c>
      <c r="C7" s="4" t="s">
        <v>6</v>
      </c>
      <c r="D7" s="4" t="s">
        <v>8</v>
      </c>
      <c r="E7" s="2">
        <v>90.9</v>
      </c>
      <c r="F7" s="2">
        <v>6.6</v>
      </c>
      <c r="G7" s="2">
        <v>3.75</v>
      </c>
      <c r="H7" s="2">
        <v>18.649999999999999</v>
      </c>
      <c r="I7" s="2">
        <v>84.65</v>
      </c>
      <c r="J7" s="2">
        <f t="shared" si="0"/>
        <v>97.5</v>
      </c>
      <c r="K7" s="26"/>
      <c r="L7" s="26"/>
      <c r="M7" s="2">
        <f t="shared" si="1"/>
        <v>119.9</v>
      </c>
    </row>
    <row r="8" spans="1:15" ht="60" x14ac:dyDescent="0.25">
      <c r="A8" s="3">
        <v>5</v>
      </c>
      <c r="B8" s="4" t="s">
        <v>15</v>
      </c>
      <c r="C8" s="4" t="s">
        <v>6</v>
      </c>
      <c r="D8" s="4" t="s">
        <v>8</v>
      </c>
      <c r="E8" s="2">
        <v>92.7</v>
      </c>
      <c r="F8" s="2">
        <v>6.65</v>
      </c>
      <c r="G8" s="2">
        <v>3.75</v>
      </c>
      <c r="H8" s="2">
        <v>18.649999999999999</v>
      </c>
      <c r="I8" s="2">
        <v>85.7</v>
      </c>
      <c r="J8" s="2">
        <f t="shared" si="0"/>
        <v>99.350000000000009</v>
      </c>
      <c r="K8" s="26"/>
      <c r="L8" s="26"/>
      <c r="M8" s="2">
        <f t="shared" si="1"/>
        <v>121.75</v>
      </c>
    </row>
    <row r="9" spans="1:15" ht="60" x14ac:dyDescent="0.25">
      <c r="A9" s="3">
        <v>6</v>
      </c>
      <c r="B9" s="4" t="s">
        <v>15</v>
      </c>
      <c r="C9" s="4" t="s">
        <v>6</v>
      </c>
      <c r="D9" s="4" t="s">
        <v>8</v>
      </c>
      <c r="E9" s="2">
        <v>92.3</v>
      </c>
      <c r="F9" s="2">
        <v>6.65</v>
      </c>
      <c r="G9" s="2">
        <v>3.75</v>
      </c>
      <c r="H9" s="2">
        <v>18.649999999999999</v>
      </c>
      <c r="I9" s="2">
        <v>86.3</v>
      </c>
      <c r="J9" s="2">
        <f t="shared" si="0"/>
        <v>98.95</v>
      </c>
      <c r="K9" s="26"/>
      <c r="L9" s="26"/>
      <c r="M9" s="2">
        <f t="shared" si="1"/>
        <v>121.35</v>
      </c>
    </row>
    <row r="10" spans="1:15" ht="60" x14ac:dyDescent="0.25">
      <c r="A10" s="3">
        <v>7</v>
      </c>
      <c r="B10" s="4" t="s">
        <v>15</v>
      </c>
      <c r="C10" s="4" t="s">
        <v>6</v>
      </c>
      <c r="D10" s="4" t="s">
        <v>8</v>
      </c>
      <c r="E10" s="2">
        <v>91.6</v>
      </c>
      <c r="F10" s="2">
        <v>6.6</v>
      </c>
      <c r="G10" s="2">
        <v>3.75</v>
      </c>
      <c r="H10" s="2">
        <v>18.649999999999999</v>
      </c>
      <c r="I10" s="2">
        <v>85.75</v>
      </c>
      <c r="J10" s="2">
        <f t="shared" si="0"/>
        <v>98.199999999999989</v>
      </c>
      <c r="K10" s="26"/>
      <c r="L10" s="26"/>
      <c r="M10" s="2">
        <f t="shared" si="1"/>
        <v>120.6</v>
      </c>
    </row>
    <row r="11" spans="1:15" ht="60" x14ac:dyDescent="0.25">
      <c r="A11" s="3">
        <v>8</v>
      </c>
      <c r="B11" s="4" t="s">
        <v>15</v>
      </c>
      <c r="C11" s="4" t="s">
        <v>6</v>
      </c>
      <c r="D11" s="4" t="s">
        <v>8</v>
      </c>
      <c r="E11" s="2">
        <v>98.7</v>
      </c>
      <c r="F11" s="2">
        <v>6.35</v>
      </c>
      <c r="G11" s="2">
        <v>5.15</v>
      </c>
      <c r="H11" s="2">
        <v>18.649999999999999</v>
      </c>
      <c r="I11" s="2">
        <v>90.6</v>
      </c>
      <c r="J11" s="2">
        <f t="shared" si="0"/>
        <v>105.05</v>
      </c>
      <c r="K11" s="26"/>
      <c r="L11" s="26"/>
      <c r="M11" s="2">
        <f t="shared" si="1"/>
        <v>128.85</v>
      </c>
    </row>
    <row r="12" spans="1:15" ht="30" x14ac:dyDescent="0.25">
      <c r="A12" s="3">
        <v>9</v>
      </c>
      <c r="B12" s="4" t="s">
        <v>11</v>
      </c>
      <c r="C12" s="4" t="s">
        <v>13</v>
      </c>
      <c r="D12" s="4" t="s">
        <v>17</v>
      </c>
      <c r="E12" s="2">
        <v>47.6</v>
      </c>
      <c r="F12" s="2">
        <v>7.2</v>
      </c>
      <c r="G12" s="2"/>
      <c r="H12" s="2">
        <v>18.55</v>
      </c>
      <c r="I12" s="2">
        <v>42.4</v>
      </c>
      <c r="J12" s="2">
        <f t="shared" si="0"/>
        <v>54.800000000000004</v>
      </c>
      <c r="K12" s="26"/>
      <c r="L12" s="26"/>
      <c r="M12" s="2">
        <f t="shared" si="1"/>
        <v>73.350000000000009</v>
      </c>
    </row>
    <row r="13" spans="1:15" ht="30" x14ac:dyDescent="0.25">
      <c r="A13" s="3">
        <v>10</v>
      </c>
      <c r="B13" s="4" t="s">
        <v>11</v>
      </c>
      <c r="C13" s="4" t="s">
        <v>13</v>
      </c>
      <c r="D13" s="4" t="s">
        <v>17</v>
      </c>
      <c r="E13" s="2">
        <v>41.3</v>
      </c>
      <c r="F13" s="2">
        <v>4.0999999999999996</v>
      </c>
      <c r="G13" s="2"/>
      <c r="H13" s="2">
        <v>18.55</v>
      </c>
      <c r="I13" s="2">
        <v>36</v>
      </c>
      <c r="J13" s="2">
        <f t="shared" si="0"/>
        <v>45.4</v>
      </c>
      <c r="K13" s="29" t="s">
        <v>22</v>
      </c>
      <c r="L13" s="29"/>
      <c r="M13" s="2" t="e">
        <f t="shared" si="1"/>
        <v>#VALUE!</v>
      </c>
      <c r="N13" s="7">
        <v>5500000</v>
      </c>
      <c r="O13" t="s">
        <v>29</v>
      </c>
    </row>
    <row r="14" spans="1:15" ht="30" x14ac:dyDescent="0.25">
      <c r="A14" s="3">
        <v>11</v>
      </c>
      <c r="B14" s="4" t="s">
        <v>12</v>
      </c>
      <c r="C14" s="4" t="s">
        <v>13</v>
      </c>
      <c r="D14" s="4" t="s">
        <v>17</v>
      </c>
      <c r="E14" s="2">
        <v>49.25</v>
      </c>
      <c r="F14" s="2">
        <v>6.9</v>
      </c>
      <c r="G14" s="2"/>
      <c r="H14" s="2">
        <v>18.55</v>
      </c>
      <c r="I14" s="2">
        <v>43.45</v>
      </c>
      <c r="J14" s="2">
        <f t="shared" si="0"/>
        <v>56.15</v>
      </c>
      <c r="K14" s="26"/>
      <c r="L14" s="26"/>
      <c r="M14" s="2">
        <f t="shared" si="1"/>
        <v>74.7</v>
      </c>
    </row>
    <row r="15" spans="1:15" ht="30" x14ac:dyDescent="0.25">
      <c r="A15" s="3">
        <v>12</v>
      </c>
      <c r="B15" s="4" t="s">
        <v>12</v>
      </c>
      <c r="C15" s="4" t="s">
        <v>13</v>
      </c>
      <c r="D15" s="4" t="s">
        <v>17</v>
      </c>
      <c r="E15" s="2">
        <v>46.65</v>
      </c>
      <c r="F15" s="2">
        <v>7.2</v>
      </c>
      <c r="G15" s="2"/>
      <c r="H15" s="2">
        <v>18.55</v>
      </c>
      <c r="I15" s="2">
        <v>41.45</v>
      </c>
      <c r="J15" s="2">
        <f t="shared" si="0"/>
        <v>53.85</v>
      </c>
      <c r="K15" s="35" t="s">
        <v>22</v>
      </c>
      <c r="L15" s="35"/>
      <c r="M15" s="2" t="e">
        <f t="shared" si="1"/>
        <v>#VALUE!</v>
      </c>
      <c r="N15" s="7">
        <v>5000000</v>
      </c>
    </row>
    <row r="16" spans="1:15" ht="30" x14ac:dyDescent="0.25">
      <c r="A16" s="3">
        <v>13</v>
      </c>
      <c r="B16" s="4" t="s">
        <v>12</v>
      </c>
      <c r="C16" s="4" t="s">
        <v>13</v>
      </c>
      <c r="D16" s="4" t="s">
        <v>18</v>
      </c>
      <c r="E16" s="2">
        <v>63.75</v>
      </c>
      <c r="F16" s="2">
        <v>7.2</v>
      </c>
      <c r="G16" s="2"/>
      <c r="H16" s="2">
        <v>18.55</v>
      </c>
      <c r="I16" s="2">
        <v>56.95</v>
      </c>
      <c r="J16" s="2">
        <f t="shared" si="0"/>
        <v>70.95</v>
      </c>
      <c r="K16" s="26"/>
      <c r="L16" s="26"/>
      <c r="M16" s="2">
        <f t="shared" si="1"/>
        <v>89.5</v>
      </c>
    </row>
    <row r="17" spans="1:13" ht="30" x14ac:dyDescent="0.25">
      <c r="A17" s="3">
        <v>14</v>
      </c>
      <c r="B17" s="4" t="s">
        <v>12</v>
      </c>
      <c r="C17" s="4" t="s">
        <v>13</v>
      </c>
      <c r="D17" s="4" t="s">
        <v>17</v>
      </c>
      <c r="E17" s="2">
        <v>49.15</v>
      </c>
      <c r="F17" s="2">
        <v>7.5</v>
      </c>
      <c r="G17" s="2"/>
      <c r="H17" s="2">
        <v>18.55</v>
      </c>
      <c r="I17" s="2">
        <v>43.75</v>
      </c>
      <c r="J17" s="2">
        <f t="shared" si="0"/>
        <v>56.65</v>
      </c>
      <c r="K17" s="26"/>
      <c r="L17" s="26"/>
      <c r="M17" s="2">
        <f t="shared" si="1"/>
        <v>75.2</v>
      </c>
    </row>
    <row r="18" spans="1:13" ht="30" x14ac:dyDescent="0.25">
      <c r="A18" s="3">
        <v>15</v>
      </c>
      <c r="B18" s="4" t="s">
        <v>12</v>
      </c>
      <c r="C18" s="4" t="s">
        <v>13</v>
      </c>
      <c r="D18" s="4" t="s">
        <v>17</v>
      </c>
      <c r="E18" s="2">
        <v>49.65</v>
      </c>
      <c r="F18" s="2">
        <v>7.8</v>
      </c>
      <c r="G18" s="2"/>
      <c r="H18" s="2">
        <v>18.55</v>
      </c>
      <c r="I18" s="2">
        <v>44.15</v>
      </c>
      <c r="J18" s="2">
        <f t="shared" si="0"/>
        <v>57.449999999999996</v>
      </c>
      <c r="K18" s="26"/>
      <c r="L18" s="26"/>
      <c r="M18" s="2">
        <f t="shared" si="1"/>
        <v>76</v>
      </c>
    </row>
    <row r="19" spans="1:13" ht="30" x14ac:dyDescent="0.25">
      <c r="A19" s="3">
        <v>16</v>
      </c>
      <c r="B19" s="4" t="s">
        <v>12</v>
      </c>
      <c r="C19" s="4" t="s">
        <v>13</v>
      </c>
      <c r="D19" s="4" t="s">
        <v>17</v>
      </c>
      <c r="E19" s="2">
        <v>49.5</v>
      </c>
      <c r="F19" s="2">
        <v>7.8</v>
      </c>
      <c r="G19" s="2"/>
      <c r="H19" s="2">
        <v>18.55</v>
      </c>
      <c r="I19" s="2">
        <v>44.5</v>
      </c>
      <c r="J19" s="2">
        <f t="shared" si="0"/>
        <v>57.3</v>
      </c>
      <c r="K19" s="26"/>
      <c r="L19" s="26"/>
      <c r="M19" s="2">
        <f t="shared" si="1"/>
        <v>75.849999999999994</v>
      </c>
    </row>
    <row r="20" spans="1:13" ht="30" x14ac:dyDescent="0.25">
      <c r="A20" s="3">
        <v>17</v>
      </c>
      <c r="B20" s="4" t="s">
        <v>12</v>
      </c>
      <c r="C20" s="4" t="s">
        <v>13</v>
      </c>
      <c r="D20" s="4" t="s">
        <v>17</v>
      </c>
      <c r="E20" s="2">
        <v>49.3</v>
      </c>
      <c r="F20" s="2">
        <v>7.5</v>
      </c>
      <c r="G20" s="2"/>
      <c r="H20" s="2">
        <v>18.55</v>
      </c>
      <c r="I20" s="2">
        <v>44.45</v>
      </c>
      <c r="J20" s="2">
        <f t="shared" si="0"/>
        <v>56.8</v>
      </c>
      <c r="K20" s="26"/>
      <c r="L20" s="26"/>
      <c r="M20" s="2">
        <f>+E20+F20+G20+K20+H20</f>
        <v>75.349999999999994</v>
      </c>
    </row>
    <row r="21" spans="1:13" ht="30" x14ac:dyDescent="0.25">
      <c r="A21" s="3">
        <v>18</v>
      </c>
      <c r="B21" s="4" t="s">
        <v>12</v>
      </c>
      <c r="C21" s="4" t="s">
        <v>13</v>
      </c>
      <c r="D21" s="4" t="s">
        <v>18</v>
      </c>
      <c r="E21" s="2">
        <v>63.75</v>
      </c>
      <c r="F21" s="2">
        <v>7.2</v>
      </c>
      <c r="G21" s="2"/>
      <c r="H21" s="2">
        <v>18.55</v>
      </c>
      <c r="I21" s="2">
        <v>56.95</v>
      </c>
      <c r="J21" s="2">
        <f>E21+F21</f>
        <v>70.95</v>
      </c>
      <c r="K21" s="26"/>
      <c r="L21" s="26"/>
      <c r="M21" s="2">
        <f>+E21+F21+G21+K21+H21</f>
        <v>89.5</v>
      </c>
    </row>
    <row r="22" spans="1:13" ht="30" x14ac:dyDescent="0.25">
      <c r="A22" s="3">
        <v>19</v>
      </c>
      <c r="B22" s="4" t="s">
        <v>12</v>
      </c>
      <c r="C22" s="4" t="s">
        <v>13</v>
      </c>
      <c r="D22" s="4" t="s">
        <v>17</v>
      </c>
      <c r="E22" s="2">
        <v>47</v>
      </c>
      <c r="F22" s="2">
        <v>7</v>
      </c>
      <c r="G22" s="2"/>
      <c r="H22" s="2">
        <v>18.55</v>
      </c>
      <c r="I22" s="2">
        <v>42.15</v>
      </c>
      <c r="J22" s="2">
        <f>E22+F22</f>
        <v>54</v>
      </c>
      <c r="K22" s="26"/>
      <c r="L22" s="26"/>
      <c r="M22" s="2">
        <f>+E22+F22+G22+K22+H22</f>
        <v>72.55</v>
      </c>
    </row>
    <row r="23" spans="1:13" ht="30" x14ac:dyDescent="0.25">
      <c r="A23" s="3">
        <v>20</v>
      </c>
      <c r="B23" s="4" t="s">
        <v>12</v>
      </c>
      <c r="C23" s="4" t="s">
        <v>13</v>
      </c>
      <c r="D23" s="4" t="s">
        <v>17</v>
      </c>
      <c r="E23" s="2">
        <v>48.9</v>
      </c>
      <c r="F23" s="2">
        <v>6.9</v>
      </c>
      <c r="G23" s="2"/>
      <c r="H23" s="2">
        <v>18.55</v>
      </c>
      <c r="I23" s="2">
        <v>43.35</v>
      </c>
      <c r="J23" s="2">
        <f>E23+F23</f>
        <v>55.8</v>
      </c>
      <c r="K23" s="26"/>
      <c r="L23" s="26"/>
      <c r="M23" s="2">
        <f>+E23+F23+G23+K23+H23</f>
        <v>74.349999999999994</v>
      </c>
    </row>
    <row r="24" spans="1:13" ht="21" x14ac:dyDescent="0.25">
      <c r="A24" s="1"/>
      <c r="B24" s="1"/>
      <c r="C24" s="1"/>
      <c r="D24" s="1"/>
      <c r="E24" s="5">
        <f t="shared" ref="E24:H24" si="2">SUM(E4:E23)</f>
        <v>1265.2</v>
      </c>
      <c r="F24" s="5">
        <f t="shared" si="2"/>
        <v>137.9</v>
      </c>
      <c r="G24" s="5">
        <f t="shared" si="2"/>
        <v>25.299999999999997</v>
      </c>
      <c r="H24" s="5">
        <f t="shared" si="2"/>
        <v>371.60000000000014</v>
      </c>
      <c r="I24" s="5"/>
      <c r="J24" s="5"/>
      <c r="K24" s="26"/>
      <c r="L24" s="26"/>
      <c r="M24" s="5" t="e">
        <f>SUM(M4:M23)</f>
        <v>#VALUE!</v>
      </c>
    </row>
  </sheetData>
  <mergeCells count="35">
    <mergeCell ref="K24:L24"/>
    <mergeCell ref="K18:L18"/>
    <mergeCell ref="K19:L19"/>
    <mergeCell ref="K20:L20"/>
    <mergeCell ref="K21:L21"/>
    <mergeCell ref="K22:L22"/>
    <mergeCell ref="K23:L23"/>
    <mergeCell ref="K17:L17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5:L5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M3"/>
    <mergeCell ref="K3:L3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Portfoy Listesi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2026-06-08T12:45:35Z</dcterms:modified>
</cp:coreProperties>
</file>